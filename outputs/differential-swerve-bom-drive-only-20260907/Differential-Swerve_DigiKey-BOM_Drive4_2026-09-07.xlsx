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a2285daf1e48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サマリー" sheetId="1" r:id="Rd465100badd44b0b"/>
    <x:sheet xmlns:r="http://schemas.openxmlformats.org/officeDocument/2006/relationships" name="統合発注BOM" sheetId="2" r:id="Rbb86d4c42ce640b8"/>
    <x:sheet xmlns:r="http://schemas.openxmlformats.org/officeDocument/2006/relationships" name="駆動基板_4枚" sheetId="3" r:id="R3d24f7a838944d9c"/>
    <x:sheet xmlns:r="http://schemas.openxmlformats.org/officeDocument/2006/relationships" name="ODOM基板_1枚" sheetId="4" r:id="R2c90dd9d7d0b4817"/>
    <x:sheet xmlns:r="http://schemas.openxmlformats.org/officeDocument/2006/relationships" name="判断根拠と注意" sheetId="5" r:id="R57355661d3514d16"/>
    <x:sheet xmlns:r="http://schemas.openxmlformats.org/officeDocument/2006/relationships" name="在庫価格Footprint監査" sheetId="6" r:id="Rb24d5c5ea64548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¥#,##0.00"/>
    <x:numFmt numFmtId="201" formatCode="0"/>
    <x:numFmt numFmtId="202" formatCode="#,##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F4F7FA"/>
      </x:patternFill>
    </x:fill>
    <x:fill>
      <x:patternFill patternType="solid">
        <x:fgColor rgb="FFF8FAFC"/>
      </x:patternFill>
    </x:fill>
    <x:fill>
      <x:patternFill patternType="solid">
        <x:fgColor rgb="FFE7E6E6"/>
      </x:patternFill>
    </x:fill>
  </x:fills>
  <x:borders count="2">
    <x:border/>
    <x:border>
      <x:left style="thin">
        <x:color rgb="FFC8D0D8"/>
      </x:left>
      <x:right style="thin">
        <x:color rgb="FFC8D0D8"/>
      </x:right>
      <x:top style="thin">
        <x:color rgb="FFC8D0D8"/>
      </x:top>
      <x:bottom style="thin">
        <x:color rgb="FFC8D0D8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/>
    <x:xf numFmtId="201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 applyAlignment="1">
      <x:alignment vertical="center" wrapText="1"/>
    </x:xf>
    <x:xf numFmtId="201" fontId="0" fillId="7" borderId="1" xfId="0" applyNumberFormat="1" applyFont="1" applyFill="1" applyBorder="1" applyAlignment="1">
      <x:alignment vertical="center" wrapText="1"/>
    </x:xf>
    <x:xf numFmtId="200" fontId="0" fillId="7" borderId="1" xfId="0" applyNumberFormat="1" applyFont="1" applyFill="1" applyBorder="1" applyAlignment="1">
      <x:alignment vertical="center" wrapText="1"/>
    </x:xf>
    <x:xf numFmtId="0" fontId="0" fillId="8" borderId="1" xfId="0" applyNumberFormat="1" applyFont="1" applyFill="1" applyBorder="1" applyAlignment="1">
      <x:alignment vertical="center" wrapText="1"/>
    </x:xf>
    <x:xf numFmtId="201" fontId="0" fillId="8" borderId="1" xfId="0" applyNumberFormat="1" applyFont="1" applyFill="1" applyBorder="1" applyAlignment="1">
      <x:alignment vertical="center" wrapText="1"/>
    </x:xf>
    <x:xf numFmtId="200" fontId="0" fillId="8" borderId="1" xfId="0" applyNumberFormat="1" applyFont="1" applyFill="1" applyBorder="1" applyAlignment="1">
      <x:alignment vertical="center" wrapText="1"/>
    </x:xf>
    <x:xf numFmtId="201" fontId="0" fillId="4" borderId="1" xfId="0" applyNumberFormat="1" applyFont="1" applyFill="1" applyBorder="1" applyAlignment="1">
      <x:alignment vertical="center" wrapText="1"/>
    </x:xf>
    <x:xf numFmtId="200" fontId="0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202" fontId="0" fillId="7" borderId="1" xfId="0" applyNumberFormat="1" applyFont="1" applyFill="1" applyBorder="1" applyAlignment="1">
      <x:alignment vertical="top" wrapText="1"/>
    </x:xf>
    <x:xf numFmtId="200" fontId="0" fillId="7" borderId="1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202" fontId="0" fillId="5" borderId="1" xfId="0" applyNumberFormat="1" applyFont="1" applyFill="1" applyBorder="1" applyAlignment="1">
      <x:alignment vertical="top" wrapText="1"/>
    </x:xf>
    <x:xf numFmtId="200" fontId="0" fillId="5" borderId="1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 applyAlignment="1">
      <x:alignment vertical="top" wrapText="1"/>
    </x:xf>
    <x:xf numFmtId="202" fontId="0" fillId="8" borderId="1" xfId="0" applyNumberFormat="1" applyFont="1" applyFill="1" applyBorder="1" applyAlignment="1">
      <x:alignment vertical="top" wrapText="1"/>
    </x:xf>
    <x:xf numFmtId="200" fontId="0" fillId="8" borderId="1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202" fontId="0" fillId="4" borderId="1" xfId="0" applyNumberFormat="1" applyFont="1" applyFill="1" applyBorder="1" applyAlignment="1">
      <x:alignment vertical="top" wrapText="1"/>
    </x:xf>
    <x:xf numFmtId="200" fontId="0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85295ae74c4040" /><Relationship Type="http://schemas.openxmlformats.org/officeDocument/2006/relationships/theme" Target="/xl/theme/theme1.xml" Id="Rbb2db3f6ce9c427d" /><Relationship Type="http://schemas.openxmlformats.org/officeDocument/2006/relationships/sharedStrings" Target="/xl/sharedStrings.xml" Id="R8bf19ce3de384e56" /><Relationship Type="http://schemas.openxmlformats.org/officeDocument/2006/relationships/worksheet" Target="/xl/worksheets/sheet1.xml" Id="Rd465100badd44b0b" /><Relationship Type="http://schemas.openxmlformats.org/officeDocument/2006/relationships/worksheet" Target="/xl/worksheets/sheet2.xml" Id="Rbb86d4c42ce640b8" /><Relationship Type="http://schemas.openxmlformats.org/officeDocument/2006/relationships/worksheet" Target="/xl/worksheets/sheet3.xml" Id="R3d24f7a838944d9c" /><Relationship Type="http://schemas.openxmlformats.org/officeDocument/2006/relationships/worksheet" Target="/xl/worksheets/sheet4.xml" Id="R2c90dd9d7d0b4817" /><Relationship Type="http://schemas.openxmlformats.org/officeDocument/2006/relationships/worksheet" Target="/xl/worksheets/sheet5.xml" Id="R57355661d3514d16" /><Relationship Type="http://schemas.openxmlformats.org/officeDocument/2006/relationships/worksheet" Target="/xl/worksheets/sheet6.xml" Id="Rb24d5c5ea64548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2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17" t="str">
        <x:v>Differential Swerve — 駆動基板 DigiKey調達サマリー</x:v>
      </x:c>
      <x:c r="B1" s="17"/>
      <x:c r="C1" s="17"/>
      <x:c r="D1" s="17"/>
      <x:c r="E1" s="17"/>
      <x:c r="F1" s="17"/>
      <x:c r="G1" s="17"/>
      <x:c r="H1" s="17"/>
    </x:row>
    <x:row r="2">
      <x:c r="A2" s="26"/>
      <x:c r="B2" s="26"/>
      <x:c r="C2" s="26"/>
      <x:c r="D2" s="26"/>
      <x:c r="E2" s="26"/>
      <x:c r="F2" s="26"/>
      <x:c r="G2" s="26"/>
      <x:c r="H2" s="26"/>
    </x:row>
    <x:row r="3">
      <x:c r="A3" s="27" t="str">
        <x:v>価格・在庫確認日</x:v>
      </x:c>
      <x:c r="B3" s="28" t="str">
        <x:v>2026-09-07 (JST)</x:v>
      </x:c>
      <x:c r="C3" s="26"/>
      <x:c r="D3" s="26"/>
      <x:c r="E3" s="26"/>
      <x:c r="F3" s="26"/>
      <x:c r="G3" s="26"/>
      <x:c r="H3" s="26"/>
    </x:row>
    <x:row r="4">
      <x:c r="A4" s="27" t="str">
        <x:v>今回の発注対象</x:v>
      </x:c>
      <x:c r="B4" s="28" t="str">
        <x:v>駆動モジュール基板 4枚（実機3＋丸ごと予備1）。ODOM基板は発注済み</x:v>
      </x:c>
      <x:c r="C4" s="26"/>
      <x:c r="D4" s="26"/>
      <x:c r="E4" s="26"/>
      <x:c r="F4" s="26"/>
      <x:c r="G4" s="26"/>
      <x:c r="H4" s="26"/>
    </x:row>
    <x:row r="5">
      <x:c r="A5" s="27" t="str">
        <x:v>購入行数</x:v>
      </x:c>
      <x:c r="B5" s="28" t="n">
        <x:f>COUNTIF('統合発注BOM'!$I$4:$I$200,"&gt;0")</x:f>
        <x:v>27</x:v>
      </x:c>
      <x:c r="C5" s="26"/>
      <x:c r="D5" s="26"/>
      <x:c r="E5" s="26"/>
      <x:c r="F5" s="26"/>
      <x:c r="G5" s="26"/>
      <x:c r="H5" s="26"/>
    </x:row>
    <x:row r="6">
      <x:c r="A6" s="27" t="str">
        <x:v>税抜部品概算</x:v>
      </x:c>
      <x:c r="B6" s="29" t="n">
        <x:f>ROUND(SUM('統合発注BOM'!$L$4:$L$200),2)</x:f>
        <x:v>11617.6</x:v>
      </x:c>
      <x:c r="C6" s="26"/>
      <x:c r="D6" s="26"/>
      <x:c r="E6" s="26"/>
      <x:c r="F6" s="26"/>
      <x:c r="G6" s="26"/>
      <x:c r="H6" s="26"/>
    </x:row>
    <x:row r="7">
      <x:c r="A7" s="27" t="str">
        <x:v>消費税10%参考</x:v>
      </x:c>
      <x:c r="B7" s="29" t="n">
        <x:f>ROUND(B6*10%,2)</x:f>
        <x:v>1161.76</x:v>
      </x:c>
      <x:c r="C7" s="26"/>
      <x:c r="D7" s="26"/>
      <x:c r="E7" s="26"/>
      <x:c r="F7" s="26"/>
      <x:c r="G7" s="26"/>
      <x:c r="H7" s="26"/>
    </x:row>
    <x:row r="8">
      <x:c r="A8" s="27" t="str">
        <x:v>税込概算</x:v>
      </x:c>
      <x:c r="B8" s="29" t="n">
        <x:f>ROUND(B6+B7,2)</x:f>
        <x:v>12779.36</x:v>
      </x:c>
      <x:c r="C8" s="26"/>
      <x:c r="D8" s="26"/>
      <x:c r="E8" s="26"/>
      <x:c r="F8" s="26"/>
      <x:c r="G8" s="26"/>
      <x:c r="H8" s="26"/>
    </x:row>
    <x:row r="9">
      <x:c r="A9" s="27" t="str">
        <x:v>送料</x:v>
      </x:c>
      <x:c r="B9" s="28" t="str">
        <x:v>DigiKey通常商品6,000円以上のため無料見込み（確定はカート）</x:v>
      </x:c>
      <x:c r="C9" s="26"/>
      <x:c r="D9" s="26"/>
      <x:c r="E9" s="26"/>
      <x:c r="F9" s="26"/>
      <x:c r="G9" s="26"/>
      <x:c r="H9" s="26"/>
    </x:row>
    <x:row r="10">
      <x:c r="A10" s="27" t="str">
        <x:v>欠品行</x:v>
      </x:c>
      <x:c r="B10" s="28" t="n">
        <x:f>COUNTIF('統合発注BOM'!$M$4:$M$200,"欠品/繰越注文")</x:f>
        <x:v>1</x:v>
      </x:c>
      <x:c r="C10" s="26"/>
      <x:c r="D10" s="26"/>
      <x:c r="E10" s="26"/>
      <x:c r="F10" s="26"/>
      <x:c r="G10" s="26"/>
      <x:c r="H10" s="26"/>
    </x:row>
    <x:row r="11">
      <x:c r="A11" s="26"/>
      <x:c r="B11" s="26"/>
      <x:c r="C11" s="26"/>
      <x:c r="D11" s="26"/>
      <x:c r="E11" s="26"/>
      <x:c r="F11" s="26"/>
      <x:c r="G11" s="26"/>
      <x:c r="H11" s="26"/>
    </x:row>
    <x:row r="12">
      <x:c r="A12" s="12" t="str">
        <x:v>重要</x:v>
      </x:c>
      <x:c r="B12" s="12" t="str">
        <x:v>対象</x:v>
      </x:c>
      <x:c r="C12" s="12" t="str">
        <x:v>状態</x:v>
      </x:c>
      <x:c r="D12" s="12" t="str">
        <x:v>対応</x:v>
      </x:c>
      <x:c r="E12" s="12" t="str"/>
      <x:c r="F12" s="12" t="str"/>
      <x:c r="G12" s="12" t="str"/>
      <x:c r="H12" s="12" t="str"/>
    </x:row>
    <x:row r="13">
      <x:c r="A13" s="30" t="str">
        <x:v>要確認</x:v>
      </x:c>
      <x:c r="B13" s="30" t="str">
        <x:v>SM03B-GHS-TB</x:v>
      </x:c>
      <x:c r="C13" s="30" t="str">
        <x:v>欠品/繰越注文</x:v>
      </x:c>
      <x:c r="D13" s="30" t="str">
        <x:v>DigiKeyカートで入荷日を確認。代替はフットプリントが変わるため未採用</x:v>
      </x:c>
      <x:c r="E13" s="30"/>
      <x:c r="F13" s="30"/>
      <x:c r="G13" s="30"/>
      <x:c r="H13" s="30"/>
    </x:row>
    <x:row r="14">
      <x:c r="A14" s="31" t="str">
        <x:v>置換済</x:v>
      </x:c>
      <x:c r="B14" s="31" t="str">
        <x:v>1uF / 10nF C0G / BAT54S / LDO / DIP / 水晶</x:v>
      </x:c>
      <x:c r="C14" s="31" t="str">
        <x:v>在庫品へ変更</x:v>
      </x:c>
      <x:c r="D14" s="31" t="str">
        <x:v>容量・定格・誘電体・外形またはpin配置を照合済み</x:v>
      </x:c>
      <x:c r="E14" s="31"/>
      <x:c r="F14" s="31"/>
      <x:c r="G14" s="31"/>
      <x:c r="H14" s="31"/>
    </x:row>
    <x:row r="15">
      <x:c r="A15" s="31" t="str">
        <x:v>発注済み</x:v>
      </x:c>
      <x:c r="B15" s="31" t="str">
        <x:v>ODOM基板1枚分</x:v>
      </x:c>
      <x:c r="C15" s="31" t="str">
        <x:v>今回の購入数は0</x:v>
      </x:c>
      <x:c r="D15" s="31" t="str">
        <x:v>内訳シートは組立確認用として残す</x:v>
      </x:c>
      <x:c r="E15" s="31"/>
      <x:c r="F15" s="31"/>
      <x:c r="G15" s="31"/>
      <x:c r="H15" s="31"/>
    </x:row>
    <x:row r="16">
      <x:c r="A16" s="31" t="str">
        <x:v>手持ち</x:v>
      </x:c>
      <x:c r="B16" s="31" t="str">
        <x:v>GHコネクタ</x:v>
      </x:c>
      <x:c r="C16" s="31" t="str">
        <x:v>2極横・6極横・6極垂直</x:v>
      </x:c>
      <x:c r="D16" s="31" t="str">
        <x:v>SM02B、SM06B、BM06BをDigiKey発注から除外</x:v>
      </x:c>
      <x:c r="E16" s="31"/>
      <x:c r="F16" s="31"/>
      <x:c r="G16" s="31"/>
      <x:c r="H16" s="31"/>
    </x:row>
    <x:row r="17">
      <x:c r="A17" s="26"/>
      <x:c r="B17" s="26"/>
      <x:c r="C17" s="26"/>
      <x:c r="D17" s="26"/>
      <x:c r="E17" s="26"/>
      <x:c r="F17" s="26"/>
      <x:c r="G17" s="26"/>
      <x:c r="H17" s="26"/>
    </x:row>
    <x:row r="18">
      <x:c r="A18" s="32" t="str">
        <x:v>使い方</x:v>
      </x:c>
      <x:c r="B18" s="32" t="str">
        <x:v>1</x:v>
      </x:c>
      <x:c r="C18" s="28" t="str">
        <x:v>統合発注BOMのオレンジ行（SM03）の納期をカートで確認</x:v>
      </x:c>
      <x:c r="D18" s="28" t="str"/>
      <x:c r="E18" s="28" t="str"/>
      <x:c r="F18" s="28" t="str"/>
      <x:c r="G18" s="28" t="str"/>
      <x:c r="H18" s="28" t="str"/>
    </x:row>
    <x:row r="19">
      <x:c r="A19" s="32" t="str"/>
      <x:c r="B19" s="32" t="str">
        <x:v>2</x:v>
      </x:c>
      <x:c r="C19" s="28" t="str">
        <x:v>CSVをDigiKey BOM Managerへアップロード</x:v>
      </x:c>
      <x:c r="D19" s="28" t="str"/>
      <x:c r="E19" s="28" t="str"/>
      <x:c r="F19" s="28" t="str"/>
      <x:c r="G19" s="28" t="str"/>
      <x:c r="H19" s="28" t="str"/>
    </x:row>
    <x:row r="20">
      <x:c r="A20" s="32" t="str"/>
      <x:c r="B20" s="32" t="str">
        <x:v>3</x:v>
      </x:c>
      <x:c r="C20" s="28" t="str">
        <x:v>税込概算・在庫・価格を最終確認して発注</x:v>
      </x:c>
      <x:c r="D20" s="28" t="str"/>
      <x:c r="E20" s="28" t="str"/>
      <x:c r="F20" s="28" t="str"/>
      <x:c r="G20" s="28" t="str"/>
      <x:c r="H20" s="28" t="str"/>
    </x:row>
    <x:row r="21">
      <x:c r="A21" s="32" t="str"/>
      <x:c r="B21" s="32" t="str">
        <x:v>4</x:v>
      </x:c>
      <x:c r="C21" s="28" t="str">
        <x:v>ODOM発注済み品と手持ちMCU・GHコネクタは発注対象外</x:v>
      </x:c>
      <x:c r="D21" s="28" t="str"/>
      <x:c r="E21" s="28" t="str"/>
      <x:c r="F21" s="28" t="str"/>
      <x:c r="G21" s="28" t="str"/>
      <x:c r="H21" s="28" t="str"/>
    </x:row>
    <x:row r="22">
      <x:c r="A22" s="26"/>
      <x:c r="B22" s="26"/>
      <x:c r="C22" s="26"/>
      <x:c r="D22" s="26"/>
      <x:c r="E22" s="26"/>
      <x:c r="F22" s="26"/>
      <x:c r="G22" s="26"/>
      <x:c r="H22" s="26"/>
    </x:row>
    <x:row r="23">
      <x:c r="A23" s="26"/>
      <x:c r="B23" s="26"/>
      <x:c r="C23" s="26"/>
      <x:c r="D23" s="26"/>
      <x:c r="E23" s="26"/>
      <x:c r="F23" s="26"/>
      <x:c r="G23" s="26"/>
      <x:c r="H23" s="26"/>
    </x:row>
    <x:row r="24">
      <x:c r="A24" s="26"/>
      <x:c r="B24" s="26"/>
      <x:c r="C24" s="26"/>
      <x:c r="D24" s="26"/>
      <x:c r="E24" s="26"/>
      <x:c r="F24" s="26"/>
      <x:c r="G24" s="26"/>
      <x:c r="H24" s="26"/>
    </x:row>
    <x:row r="25">
      <x:c r="A25" s="26"/>
      <x:c r="B25" s="26"/>
      <x:c r="C25" s="26"/>
      <x:c r="D25" s="26"/>
      <x:c r="E25" s="26"/>
      <x:c r="F25" s="26"/>
      <x:c r="G25" s="26"/>
      <x:c r="H25" s="26"/>
    </x:row>
  </x:sheetData>
  <x:mergeCells>
    <x:mergeCell ref="A1:H1"/>
    <x:mergeCell ref="D13:H13"/>
    <x:mergeCell ref="D14:H14"/>
    <x:mergeCell ref="D15:H15"/>
    <x:mergeCell ref="D16:H16"/>
    <x:mergeCell ref="C18:H18"/>
    <x:mergeCell ref="C19:H19"/>
    <x:mergeCell ref="C20:H20"/>
    <x:mergeCell ref="C21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5" ySplit="3" topLeftCell="F4" activePane="bottomRight" state="frozen"/>
    </x:sheetView>
  </x:sheetViews>
  <x:sheetFormatPr defaultRowHeight="15"/>
  <x:cols>
    <x:col min="1" max="1" width="12" hidden="0" customWidth="1"/>
    <x:col min="2" max="2" width="30" hidden="0" customWidth="1"/>
    <x:col min="3" max="3" width="20" hidden="0" customWidth="1"/>
    <x:col min="4" max="4" width="28" hidden="0" customWidth="1"/>
    <x:col min="5" max="5" width="2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13" hidden="0" customWidth="1"/>
    <x:col min="12" max="12" width="14" hidden="0" customWidth="1"/>
    <x:col min="13" max="13" width="16" hidden="0" customWidth="1"/>
    <x:col min="14" max="14" width="35" hidden="0" customWidth="1"/>
    <x:col min="15" max="15" width="38" hidden="0" customWidth="1"/>
    <x:col min="16" max="16" width="42" hidden="0" customWidth="1"/>
    <x:col min="17" max="17" width="32" hidden="0" customWidth="1"/>
  </x:cols>
  <x:sheetData>
    <x:row r="1" ht="30" customHeight="1">
      <x:c r="A1" s="3" t="str">
        <x:v>今回発注BOM — 駆動モジュール基板4枚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>
      <x:c r="A2" s="33" t="str">
        <x:v>今回の購入数量は駆動基板4枚分のみ。ODOMは発注済み。価格は税抜JPY。URLは価格/在庫の再確認用。</x:v>
      </x:c>
    </x:row>
    <x:row r="3" ht="38" customHeight="1">
      <x:c r="A3" s="12" t="str">
        <x:v>分類</x:v>
      </x:c>
      <x:c r="B3" s="12" t="str">
        <x:v>品名/仕様</x:v>
      </x:c>
      <x:c r="C3" s="12" t="str">
        <x:v>メーカー</x:v>
      </x:c>
      <x:c r="D3" s="12" t="str">
        <x:v>メーカー品番</x:v>
      </x:c>
      <x:c r="E3" s="12" t="str">
        <x:v>DigiKey品番</x:v>
      </x:c>
      <x:c r="F3" s="12" t="str">
        <x:v>駆動/枚</x:v>
      </x:c>
      <x:c r="G3" s="12" t="str">
        <x:v>ODOM/枚(発注済)</x:v>
      </x:c>
      <x:c r="H3" s="12" t="str">
        <x:v>今回必要数</x:v>
      </x:c>
      <x:c r="I3" s="12" t="str">
        <x:v>今回発注数</x:v>
      </x:c>
      <x:c r="J3" s="12" t="str">
        <x:v>駆動分余剰</x:v>
      </x:c>
      <x:c r="K3" s="12" t="str">
        <x:v>単価(税抜)</x:v>
      </x:c>
      <x:c r="L3" s="12" t="str">
        <x:v>小計(税抜)</x:v>
      </x:c>
      <x:c r="M3" s="12" t="str">
        <x:v>在庫状態</x:v>
      </x:c>
      <x:c r="N3" s="12" t="str">
        <x:v>数量判断</x:v>
      </x:c>
      <x:c r="O3" s="12" t="str">
        <x:v>使用箇所</x:v>
      </x:c>
      <x:c r="P3" s="12" t="str">
        <x:v>参照URL</x:v>
      </x:c>
      <x:c r="Q3" s="12" t="str">
        <x:v>備考</x:v>
      </x:c>
    </x:row>
    <x:row r="4" ht="32" customHeight="1">
      <x:c r="A4" s="37" t="str">
        <x:v>コンデンサ</x:v>
      </x:c>
      <x:c r="B4" s="37" t="str">
        <x:v>100nF 50V X7R 0603</x:v>
      </x:c>
      <x:c r="C4" s="37" t="str">
        <x:v>KEMET</x:v>
      </x:c>
      <x:c r="D4" s="37" t="str">
        <x:v>C0603C104K5RACTU</x:v>
      </x:c>
      <x:c r="E4" s="37" t="str">
        <x:v>399-C0603C104K5RACTUCT-ND</x:v>
      </x:c>
      <x:c r="F4" s="38" t="n">
        <x:v>13</x:v>
      </x:c>
      <x:c r="G4" s="38" t="n">
        <x:v>12</x:v>
      </x:c>
      <x:c r="H4" s="38" t="n">
        <x:f>F4*4</x:f>
        <x:v>52</x:v>
      </x:c>
      <x:c r="I4" s="38" t="n">
        <x:v>60</x:v>
      </x:c>
      <x:c r="J4" s="38" t="n">
        <x:f>IF(I4=0,0,I4-H4)</x:f>
        <x:v>8</x:v>
      </x:c>
      <x:c r="K4" s="39" t="n">
        <x:v>7.96</x:v>
      </x:c>
      <x:c r="L4" s="39" t="n">
        <x:f>ROUND(I4*K4,2)</x:f>
        <x:v>477.6</x:v>
      </x:c>
      <x:c r="M4" s="37" t="str">
        <x:v>在庫あり</x:v>
      </x:c>
      <x:c r="N4" s="37" t="str">
        <x:v>必要52個＋予備8個。50個価格を適用</x:v>
      </x:c>
      <x:c r="O4" s="37" t="str">
        <x:v>UNIT:C1,C2,C5-C9,C13,C15,C17,C18,C201,C203 / ODOM:C2,C4,C8,C9,C11-C14,C18,C19,C22,C28</x:v>
      </x:c>
      <x:c r="P4" s="37" t="str">
        <x:v>https://www.digikey.jp/ja/products/detail/kemet/C0603C104K5RACTU/1465594</x:v>
      </x:c>
      <x:c r="Q4" s="37" t="str"/>
    </x:row>
    <x:row r="5" ht="32" customHeight="1">
      <x:c r="A5" s="28" t="str">
        <x:v>コンデンサ</x:v>
      </x:c>
      <x:c r="B5" s="28" t="str">
        <x:v>10pF 50V C0G 0603</x:v>
      </x:c>
      <x:c r="C5" s="28" t="str">
        <x:v>Samsung Electro-Mechanics</x:v>
      </x:c>
      <x:c r="D5" s="28" t="str">
        <x:v>CL10C100JB8NNNC</x:v>
      </x:c>
      <x:c r="E5" s="28" t="str">
        <x:v>1276-1027-1-ND</x:v>
      </x:c>
      <x:c r="F5" s="36" t="n">
        <x:v>2</x:v>
      </x:c>
      <x:c r="G5" s="36" t="n">
        <x:v>2</x:v>
      </x:c>
      <x:c r="H5" s="36" t="n">
        <x:f>F5*4</x:f>
        <x:v>8</x:v>
      </x:c>
      <x:c r="I5" s="36" t="n">
        <x:v>10</x:v>
      </x:c>
      <x:c r="J5" s="36" t="n">
        <x:f>IF(I5=0,0,I5-H5)</x:f>
        <x:v>2</x:v>
      </x:c>
      <x:c r="K5" s="29" t="n">
        <x:v>6.2</x:v>
      </x:c>
      <x:c r="L5" s="29" t="n">
        <x:f>ROUND(I5*K5,2)</x:f>
        <x:v>62</x:v>
      </x:c>
      <x:c r="M5" s="28" t="str">
        <x:v>在庫あり</x:v>
      </x:c>
      <x:c r="N5" s="28" t="str">
        <x:v>必要8個＋予備2個。10個価格を適用</x:v>
      </x:c>
      <x:c r="O5" s="28" t="str">
        <x:v>UNIT:C3,C4 / ODOM:C6,C7</x:v>
      </x:c>
      <x:c r="P5" s="28" t="str">
        <x:v>https://www.digikey.jp/ja/products/detail/samsung-electro-mechanics/CL10C100JB8NNNC/3886685</x:v>
      </x:c>
      <x:c r="Q5" s="28" t="str"/>
    </x:row>
    <x:row r="6" ht="32" customHeight="1">
      <x:c r="A6" s="37" t="str">
        <x:v>コンデンサ</x:v>
      </x:c>
      <x:c r="B6" s="37" t="str">
        <x:v>4.7uF 25V X7R 0805</x:v>
      </x:c>
      <x:c r="C6" s="37" t="str">
        <x:v>Murata</x:v>
      </x:c>
      <x:c r="D6" s="37" t="str">
        <x:v>GRM21BZ71E475KE15K</x:v>
      </x:c>
      <x:c r="E6" s="37" t="str">
        <x:v>490-GRM21BZ71E475KE15KCT-ND</x:v>
      </x:c>
      <x:c r="F6" s="38" t="n">
        <x:v>1</x:v>
      </x:c>
      <x:c r="G6" s="38" t="n">
        <x:v>1</x:v>
      </x:c>
      <x:c r="H6" s="38" t="n">
        <x:f>F6*4</x:f>
        <x:v>4</x:v>
      </x:c>
      <x:c r="I6" s="38" t="n">
        <x:v>5</x:v>
      </x:c>
      <x:c r="J6" s="38" t="n">
        <x:f>IF(I6=0,0,I6-H6)</x:f>
        <x:v>1</x:v>
      </x:c>
      <x:c r="K6" s="39" t="n">
        <x:v>48</x:v>
      </x:c>
      <x:c r="L6" s="39" t="n">
        <x:f>ROUND(I6*K6,2)</x:f>
        <x:v>240</x:v>
      </x:c>
      <x:c r="M6" s="37" t="str">
        <x:v>在庫あり</x:v>
      </x:c>
      <x:c r="N6" s="37" t="str">
        <x:v>必要4個＋予備1個。10個購入より総額が低い</x:v>
      </x:c>
      <x:c r="O6" s="37" t="str">
        <x:v>UNIT:C10 / ODOM:C10</x:v>
      </x:c>
      <x:c r="P6" s="37" t="str">
        <x:v>https://www.digikey.jp/ja/products/detail/murata-electronics/GRM21BZ71E475KE15K/17860893</x:v>
      </x:c>
      <x:c r="Q6" s="37" t="str"/>
    </x:row>
    <x:row r="7" ht="32" customHeight="1">
      <x:c r="A7" s="28" t="str">
        <x:v>コンデンサ</x:v>
      </x:c>
      <x:c r="B7" s="28" t="str">
        <x:v>1uF 25V X7R 0603</x:v>
      </x:c>
      <x:c r="C7" s="28" t="str">
        <x:v>TDK</x:v>
      </x:c>
      <x:c r="D7" s="28" t="str">
        <x:v>C1608X7R1E105K080AB</x:v>
      </x:c>
      <x:c r="E7" s="28" t="str">
        <x:v>445-5956-1-ND</x:v>
      </x:c>
      <x:c r="F7" s="36" t="n">
        <x:v>2</x:v>
      </x:c>
      <x:c r="G7" s="36" t="n">
        <x:v>1</x:v>
      </x:c>
      <x:c r="H7" s="36" t="n">
        <x:f>F7*4</x:f>
        <x:v>8</x:v>
      </x:c>
      <x:c r="I7" s="36" t="n">
        <x:v>10</x:v>
      </x:c>
      <x:c r="J7" s="36" t="n">
        <x:f>IF(I7=0,0,I7-H7)</x:f>
        <x:v>2</x:v>
      </x:c>
      <x:c r="K7" s="29" t="n">
        <x:v>17.8</x:v>
      </x:c>
      <x:c r="L7" s="29" t="n">
        <x:f>ROUND(I7*K7,2)</x:f>
        <x:v>178</x:v>
      </x:c>
      <x:c r="M7" s="28" t="str">
        <x:v>在庫あり</x:v>
      </x:c>
      <x:c r="N7" s="28" t="str">
        <x:v>必要8個＋予備2個。10個価格を適用</x:v>
      </x:c>
      <x:c r="O7" s="28" t="str">
        <x:v>UNIT:C11,C14 / ODOM:C16</x:v>
      </x:c>
      <x:c r="P7" s="28" t="str">
        <x:v>https://www.digikey.jp/ja/products/detail/tdk/C1608X7R1E105K080AB/2443997</x:v>
      </x:c>
      <x:c r="Q7" s="28" t="str">
        <x:v>Taiyo Yuden TMK107B7105KA-T在庫0のため同一定格・同外形へ置換</x:v>
      </x:c>
    </x:row>
    <x:row r="8" ht="32" customHeight="1">
      <x:c r="A8" s="37" t="str">
        <x:v>コンデンサ</x:v>
      </x:c>
      <x:c r="B8" s="37" t="str">
        <x:v>10nF 50V C0G 0603</x:v>
      </x:c>
      <x:c r="C8" s="37" t="str">
        <x:v>TDK</x:v>
      </x:c>
      <x:c r="D8" s="37" t="str">
        <x:v>C1608C0G1H103J080AA</x:v>
      </x:c>
      <x:c r="E8" s="37" t="str">
        <x:v>445-7404-1-ND</x:v>
      </x:c>
      <x:c r="F8" s="38" t="n">
        <x:v>1</x:v>
      </x:c>
      <x:c r="G8" s="38" t="n">
        <x:v>0</x:v>
      </x:c>
      <x:c r="H8" s="38" t="n">
        <x:f>F8*4</x:f>
        <x:v>4</x:v>
      </x:c>
      <x:c r="I8" s="38" t="n">
        <x:v>10</x:v>
      </x:c>
      <x:c r="J8" s="38" t="n">
        <x:f>IF(I8=0,0,I8-H8)</x:f>
        <x:v>6</x:v>
      </x:c>
      <x:c r="K8" s="39" t="n">
        <x:v>22.3</x:v>
      </x:c>
      <x:c r="L8" s="39" t="n">
        <x:f>ROUND(I8*K8,2)</x:f>
        <x:v>223</x:v>
      </x:c>
      <x:c r="M8" s="37" t="str">
        <x:v>在庫あり</x:v>
      </x:c>
      <x:c r="N8" s="37" t="str">
        <x:v>必要4個。少数購入より10個の総額が安い</x:v>
      </x:c>
      <x:c r="O8" s="37" t="str">
        <x:v>UNIT:C12</x:v>
      </x:c>
      <x:c r="P8" s="37" t="str">
        <x:v>https://www.digikey.jp/ja/products/detail/tdk-corporation/C1608C0G1H103J080AA/2732839</x:v>
      </x:c>
      <x:c r="Q8" s="37" t="str">
        <x:v>C0G、±5%、50V、0603を維持し、在庫と価格を確認できる品へ置換</x:v>
      </x:c>
    </x:row>
    <x:row r="9" ht="32" customHeight="1">
      <x:c r="A9" s="28" t="str">
        <x:v>コンデンサ</x:v>
      </x:c>
      <x:c r="B9" s="28" t="str">
        <x:v>10nF 100V X7R 0603</x:v>
      </x:c>
      <x:c r="C9" s="28" t="str">
        <x:v>Murata</x:v>
      </x:c>
      <x:c r="D9" s="28" t="str">
        <x:v>GRM188R72A103KA01D</x:v>
      </x:c>
      <x:c r="E9" s="28" t="str">
        <x:v>490-GRM188R72A103KA01DCT-ND</x:v>
      </x:c>
      <x:c r="F9" s="36" t="n">
        <x:v>1</x:v>
      </x:c>
      <x:c r="G9" s="36" t="n">
        <x:v>0</x:v>
      </x:c>
      <x:c r="H9" s="36" t="n">
        <x:f>F9*4</x:f>
        <x:v>4</x:v>
      </x:c>
      <x:c r="I9" s="36" t="n">
        <x:v>10</x:v>
      </x:c>
      <x:c r="J9" s="36" t="n">
        <x:f>IF(I9=0,0,I9-H9)</x:f>
        <x:v>6</x:v>
      </x:c>
      <x:c r="K9" s="29" t="n">
        <x:v>5.8</x:v>
      </x:c>
      <x:c r="L9" s="29" t="n">
        <x:f>ROUND(I9*K9,2)</x:f>
        <x:v>58</x:v>
      </x:c>
      <x:c r="M9" s="28" t="str">
        <x:v>在庫あり</x:v>
      </x:c>
      <x:c r="N9" s="28" t="str">
        <x:v>必要4個。少数購入より10個の総額が安い</x:v>
      </x:c>
      <x:c r="O9" s="28" t="str">
        <x:v>UNIT:C16</x:v>
      </x:c>
      <x:c r="P9" s="28" t="str">
        <x:v>https://www.digikey.jp/ja/products/detail/murata-electronics/GRM188R72A103KA01D/3845635</x:v>
      </x:c>
      <x:c r="Q9" s="28" t="str"/>
    </x:row>
    <x:row r="10" ht="32" customHeight="1">
      <x:c r="A10" s="37" t="str">
        <x:v>コンデンサ</x:v>
      </x:c>
      <x:c r="B10" s="37" t="str">
        <x:v>2.2uF 25V X7R 0805</x:v>
      </x:c>
      <x:c r="C10" s="37" t="str">
        <x:v>Murata</x:v>
      </x:c>
      <x:c r="D10" s="37" t="str">
        <x:v>GCM21BR71E225KA73L</x:v>
      </x:c>
      <x:c r="E10" s="37" t="str">
        <x:v>490-4787-1-ND</x:v>
      </x:c>
      <x:c r="F10" s="38" t="n">
        <x:v>1</x:v>
      </x:c>
      <x:c r="G10" s="38" t="n">
        <x:v>4</x:v>
      </x:c>
      <x:c r="H10" s="38" t="n">
        <x:f>F10*4</x:f>
        <x:v>4</x:v>
      </x:c>
      <x:c r="I10" s="38" t="n">
        <x:v>5</x:v>
      </x:c>
      <x:c r="J10" s="38" t="n">
        <x:f>IF(I10=0,0,I10-H10)</x:f>
        <x:v>1</x:v>
      </x:c>
      <x:c r="K10" s="39" t="n">
        <x:v>73</x:v>
      </x:c>
      <x:c r="L10" s="39" t="n">
        <x:f>ROUND(I10*K10,2)</x:f>
        <x:v>365</x:v>
      </x:c>
      <x:c r="M10" s="37" t="str">
        <x:v>在庫あり</x:v>
      </x:c>
      <x:c r="N10" s="37" t="str">
        <x:v>必要4個＋予備1個。10個購入より総額が低い</x:v>
      </x:c>
      <x:c r="O10" s="37" t="str">
        <x:v>UNIT:C101 / ODOM:C1,C20,C21,C27</x:v>
      </x:c>
      <x:c r="P10" s="37" t="str">
        <x:v>https://www.digikey.jp/ja/products/detail/murata-electronics/GCM21BR71E225KA73L/1641661</x:v>
      </x:c>
      <x:c r="Q10" s="37" t="str"/>
    </x:row>
    <x:row r="11" ht="32" customHeight="1">
      <x:c r="A11" s="28" t="str">
        <x:v>コンデンサ</x:v>
      </x:c>
      <x:c r="B11" s="28" t="str">
        <x:v>10uF 10V X7R 0805</x:v>
      </x:c>
      <x:c r="C11" s="28" t="str">
        <x:v>TDK</x:v>
      </x:c>
      <x:c r="D11" s="28" t="str">
        <x:v>C2012X7R1A106K125AC</x:v>
      </x:c>
      <x:c r="E11" s="28" t="str">
        <x:v>445-6857-1-ND</x:v>
      </x:c>
      <x:c r="F11" s="36" t="n">
        <x:v>2</x:v>
      </x:c>
      <x:c r="G11" s="36" t="n">
        <x:v>2</x:v>
      </x:c>
      <x:c r="H11" s="36" t="n">
        <x:f>F11*4</x:f>
        <x:v>8</x:v>
      </x:c>
      <x:c r="I11" s="36" t="n">
        <x:v>10</x:v>
      </x:c>
      <x:c r="J11" s="36" t="n">
        <x:f>IF(I11=0,0,I11-H11)</x:f>
        <x:v>2</x:v>
      </x:c>
      <x:c r="K11" s="29" t="n">
        <x:v>32.3</x:v>
      </x:c>
      <x:c r="L11" s="29" t="n">
        <x:f>ROUND(I11*K11,2)</x:f>
        <x:v>323</x:v>
      </x:c>
      <x:c r="M11" s="28" t="str">
        <x:v>在庫あり</x:v>
      </x:c>
      <x:c r="N11" s="28" t="str">
        <x:v>必要8個＋予備2個。10個価格を適用</x:v>
      </x:c>
      <x:c r="O11" s="28" t="str">
        <x:v>UNIT:C202,C204 / ODOM:C3,C5</x:v>
      </x:c>
      <x:c r="P11" s="28" t="str">
        <x:v>https://www.digikey.jp/ja/products/detail/tdk/C2012X7R1A106K125AC/2619198</x:v>
      </x:c>
      <x:c r="Q11" s="28" t="str"/>
    </x:row>
    <x:row r="12" ht="32" customHeight="1">
      <x:c r="A12" s="37" t="str">
        <x:v>抵抗</x:v>
      </x:c>
      <x:c r="B12" s="37" t="str">
        <x:v>120R 1% 0603</x:v>
      </x:c>
      <x:c r="C12" s="37" t="str">
        <x:v>YAGEO</x:v>
      </x:c>
      <x:c r="D12" s="37" t="str">
        <x:v>RC0603FR-07120RL</x:v>
      </x:c>
      <x:c r="E12" s="37" t="str">
        <x:v>311-120HRCT-ND</x:v>
      </x:c>
      <x:c r="F12" s="38" t="n">
        <x:v>1</x:v>
      </x:c>
      <x:c r="G12" s="38" t="n">
        <x:v>1</x:v>
      </x:c>
      <x:c r="H12" s="38" t="n">
        <x:f>F12*4</x:f>
        <x:v>4</x:v>
      </x:c>
      <x:c r="I12" s="38" t="n">
        <x:v>10</x:v>
      </x:c>
      <x:c r="J12" s="38" t="n">
        <x:f>IF(I12=0,0,I12-H12)</x:f>
        <x:v>6</x:v>
      </x:c>
      <x:c r="K12" s="39" t="n">
        <x:v>4.2</x:v>
      </x:c>
      <x:c r="L12" s="39" t="n">
        <x:f>ROUND(I12*K12,2)</x:f>
        <x:v>42</x:v>
      </x:c>
      <x:c r="M12" s="37" t="str">
        <x:v>在庫あり</x:v>
      </x:c>
      <x:c r="N12" s="37" t="str">
        <x:v>必要4個。少数購入より10個の総額が安い</x:v>
      </x:c>
      <x:c r="O12" s="37" t="str">
        <x:v>UNIT:R1 / ODOM:R1</x:v>
      </x:c>
      <x:c r="P12" s="37" t="str">
        <x:v>https://www.digikey.jp/ja/products/detail/yageo/RC0603FR-07120RL/726920</x:v>
      </x:c>
      <x:c r="Q12" s="37" t="str"/>
    </x:row>
    <x:row r="13" ht="32" customHeight="1">
      <x:c r="A13" s="28" t="str">
        <x:v>抵抗</x:v>
      </x:c>
      <x:c r="B13" s="28" t="str">
        <x:v>0R 0603</x:v>
      </x:c>
      <x:c r="C13" s="28" t="str">
        <x:v>YAGEO</x:v>
      </x:c>
      <x:c r="D13" s="28" t="str">
        <x:v>RC0603JR-070RL</x:v>
      </x:c>
      <x:c r="E13" s="28" t="str">
        <x:v>311-0.0GRCT-ND</x:v>
      </x:c>
      <x:c r="F13" s="36" t="n">
        <x:v>6</x:v>
      </x:c>
      <x:c r="G13" s="36" t="n">
        <x:v>1</x:v>
      </x:c>
      <x:c r="H13" s="36" t="n">
        <x:f>F13*4</x:f>
        <x:v>24</x:v>
      </x:c>
      <x:c r="I13" s="36" t="n">
        <x:v>25</x:v>
      </x:c>
      <x:c r="J13" s="36" t="n">
        <x:f>IF(I13=0,0,I13-H13)</x:f>
        <x:v>1</x:v>
      </x:c>
      <x:c r="K13" s="29" t="n">
        <x:v>1.48</x:v>
      </x:c>
      <x:c r="L13" s="29" t="n">
        <x:f>ROUND(I13*K13,2)</x:f>
        <x:v>37</x:v>
      </x:c>
      <x:c r="M13" s="28" t="str">
        <x:v>在庫あり</x:v>
      </x:c>
      <x:c r="N13" s="28" t="str">
        <x:v>必要24個＋予備1個。25個価格を適用</x:v>
      </x:c>
      <x:c r="O13" s="28" t="str">
        <x:v>UNIT:R2,R3,R15-R18 / ODOM:R3</x:v>
      </x:c>
      <x:c r="P13" s="28" t="str">
        <x:v>https://www.digikey.jp/ja/products/detail/yageo/RC0603JR-070RL/726675</x:v>
      </x:c>
      <x:c r="Q13" s="28" t="str"/>
    </x:row>
    <x:row r="14" ht="32" customHeight="1">
      <x:c r="A14" s="37" t="str">
        <x:v>抵抗</x:v>
      </x:c>
      <x:c r="B14" s="37" t="str">
        <x:v>10k 1% 0603</x:v>
      </x:c>
      <x:c r="C14" s="37" t="str">
        <x:v>YAGEO</x:v>
      </x:c>
      <x:c r="D14" s="37" t="str">
        <x:v>RC0603FR-0710KL</x:v>
      </x:c>
      <x:c r="E14" s="37" t="str">
        <x:v>311-10.0KHRCT-ND</x:v>
      </x:c>
      <x:c r="F14" s="38" t="n">
        <x:v>1</x:v>
      </x:c>
      <x:c r="G14" s="38" t="n">
        <x:v>1</x:v>
      </x:c>
      <x:c r="H14" s="38" t="n">
        <x:f>F14*4</x:f>
        <x:v>4</x:v>
      </x:c>
      <x:c r="I14" s="38" t="n">
        <x:v>10</x:v>
      </x:c>
      <x:c r="J14" s="38" t="n">
        <x:f>IF(I14=0,0,I14-H14)</x:f>
        <x:v>6</x:v>
      </x:c>
      <x:c r="K14" s="39" t="n">
        <x:v>4.2</x:v>
      </x:c>
      <x:c r="L14" s="39" t="n">
        <x:f>ROUND(I14*K14,2)</x:f>
        <x:v>42</x:v>
      </x:c>
      <x:c r="M14" s="37" t="str">
        <x:v>在庫あり</x:v>
      </x:c>
      <x:c r="N14" s="37" t="str">
        <x:v>必要4個。少数購入より10個の総額が安い</x:v>
      </x:c>
      <x:c r="O14" s="37" t="str">
        <x:v>UNIT:R4 / ODOM:R4</x:v>
      </x:c>
      <x:c r="P14" s="37" t="str">
        <x:v>https://www.digikey.jp/ja/products/detail/yageo/RC0603FR-0710KL/726880</x:v>
      </x:c>
      <x:c r="Q14" s="37" t="str"/>
    </x:row>
    <x:row r="15" ht="32" customHeight="1">
      <x:c r="A15" s="28" t="str">
        <x:v>抵抗</x:v>
      </x:c>
      <x:c r="B15" s="28" t="str">
        <x:v>33k 1% 0603</x:v>
      </x:c>
      <x:c r="C15" s="28" t="str">
        <x:v>YAGEO</x:v>
      </x:c>
      <x:c r="D15" s="28" t="str">
        <x:v>RC0603FR-0733KL</x:v>
      </x:c>
      <x:c r="E15" s="28" t="str">
        <x:v>311-33.0KHRCT-ND</x:v>
      </x:c>
      <x:c r="F15" s="36" t="n">
        <x:v>1</x:v>
      </x:c>
      <x:c r="G15" s="36" t="n">
        <x:v>0</x:v>
      </x:c>
      <x:c r="H15" s="36" t="n">
        <x:f>F15*4</x:f>
        <x:v>4</x:v>
      </x:c>
      <x:c r="I15" s="36" t="n">
        <x:v>10</x:v>
      </x:c>
      <x:c r="J15" s="36" t="n">
        <x:f>IF(I15=0,0,I15-H15)</x:f>
        <x:v>6</x:v>
      </x:c>
      <x:c r="K15" s="29" t="n">
        <x:v>4.2</x:v>
      </x:c>
      <x:c r="L15" s="29" t="n">
        <x:f>ROUND(I15*K15,2)</x:f>
        <x:v>42</x:v>
      </x:c>
      <x:c r="M15" s="28" t="str">
        <x:v>在庫あり</x:v>
      </x:c>
      <x:c r="N15" s="28" t="str">
        <x:v>必要4個。少数購入より10個の総額が安い</x:v>
      </x:c>
      <x:c r="O15" s="28" t="str">
        <x:v>UNIT:R13</x:v>
      </x:c>
      <x:c r="P15" s="28" t="str">
        <x:v>https://www.digikey.jp/ja/products/detail/yageo/RC0603FR-0733KL/730106</x:v>
      </x:c>
      <x:c r="Q15" s="28" t="str"/>
    </x:row>
    <x:row r="16" ht="32" customHeight="1">
      <x:c r="A16" s="37" t="str">
        <x:v>抵抗</x:v>
      </x:c>
      <x:c r="B16" s="37" t="str">
        <x:v>22k 1% 0603</x:v>
      </x:c>
      <x:c r="C16" s="37" t="str">
        <x:v>YAGEO</x:v>
      </x:c>
      <x:c r="D16" s="37" t="str">
        <x:v>RC0603FR-0722KL</x:v>
      </x:c>
      <x:c r="E16" s="37" t="str">
        <x:v>311-22.0KHRCT-ND</x:v>
      </x:c>
      <x:c r="F16" s="38" t="n">
        <x:v>1</x:v>
      </x:c>
      <x:c r="G16" s="38" t="n">
        <x:v>0</x:v>
      </x:c>
      <x:c r="H16" s="38" t="n">
        <x:f>F16*4</x:f>
        <x:v>4</x:v>
      </x:c>
      <x:c r="I16" s="38" t="n">
        <x:v>10</x:v>
      </x:c>
      <x:c r="J16" s="38" t="n">
        <x:f>IF(I16=0,0,I16-H16)</x:f>
        <x:v>6</x:v>
      </x:c>
      <x:c r="K16" s="39" t="n">
        <x:v>4.2</x:v>
      </x:c>
      <x:c r="L16" s="39" t="n">
        <x:f>ROUND(I16*K16,2)</x:f>
        <x:v>42</x:v>
      </x:c>
      <x:c r="M16" s="37" t="str">
        <x:v>在庫あり</x:v>
      </x:c>
      <x:c r="N16" s="37" t="str">
        <x:v>必要4個。少数購入より10個の総額が安い</x:v>
      </x:c>
      <x:c r="O16" s="37" t="str">
        <x:v>UNIT:R14</x:v>
      </x:c>
      <x:c r="P16" s="37" t="str">
        <x:v>https://www.digikey.jp/ja/products/detail/yageo/RC0603FR-0722KL/727056</x:v>
      </x:c>
      <x:c r="Q16" s="37" t="str"/>
    </x:row>
    <x:row r="17" ht="32" customHeight="1">
      <x:c r="A17" s="28" t="str">
        <x:v>抵抗</x:v>
      </x:c>
      <x:c r="B17" s="28" t="str">
        <x:v>1k 1% 0603</x:v>
      </x:c>
      <x:c r="C17" s="28" t="str">
        <x:v>YAGEO</x:v>
      </x:c>
      <x:c r="D17" s="28" t="str">
        <x:v>RC0603FR-071KL</x:v>
      </x:c>
      <x:c r="E17" s="28" t="str">
        <x:v>311-1.00KHRCT-ND</x:v>
      </x:c>
      <x:c r="F17" s="36" t="n">
        <x:v>4</x:v>
      </x:c>
      <x:c r="G17" s="36" t="n">
        <x:v>4</x:v>
      </x:c>
      <x:c r="H17" s="36" t="n">
        <x:f>F17*4</x:f>
        <x:v>16</x:v>
      </x:c>
      <x:c r="I17" s="36" t="n">
        <x:v>25</x:v>
      </x:c>
      <x:c r="J17" s="36" t="n">
        <x:f>IF(I17=0,0,I17-H17)</x:f>
        <x:v>9</x:v>
      </x:c>
      <x:c r="K17" s="29" t="n">
        <x:v>3.12</x:v>
      </x:c>
      <x:c r="L17" s="29" t="n">
        <x:f>ROUND(I17*K17,2)</x:f>
        <x:v>78</x:v>
      </x:c>
      <x:c r="M17" s="28" t="str">
        <x:v>在庫あり</x:v>
      </x:c>
      <x:c r="N17" s="28" t="str">
        <x:v>必要16個＋予備9個。20個購入より25個の総額が安い</x:v>
      </x:c>
      <x:c r="O17" s="28" t="str">
        <x:v>UNIT:R19-R22 / ODOM:R19-R22</x:v>
      </x:c>
      <x:c r="P17" s="28" t="str">
        <x:v>https://www.digikey.jp/ja/products/detail/yageo/RC0603FR-071KL/729790</x:v>
      </x:c>
      <x:c r="Q17" s="28" t="str"/>
    </x:row>
    <x:row r="18" ht="32" customHeight="1">
      <x:c r="A18" s="40" t="str">
        <x:v>抵抗</x:v>
      </x:c>
      <x:c r="B18" s="40" t="str">
        <x:v>100R 1% 0603</x:v>
      </x:c>
      <x:c r="C18" s="40" t="str">
        <x:v>YAGEO</x:v>
      </x:c>
      <x:c r="D18" s="40" t="str">
        <x:v>RC0603FR-07100RL</x:v>
      </x:c>
      <x:c r="E18" s="40" t="str">
        <x:v>311-100HRCT-ND</x:v>
      </x:c>
      <x:c r="F18" s="41" t="n">
        <x:v>0</x:v>
      </x:c>
      <x:c r="G18" s="41" t="n">
        <x:v>6</x:v>
      </x:c>
      <x:c r="H18" s="41" t="n">
        <x:f>F18*4</x:f>
        <x:v>0</x:v>
      </x:c>
      <x:c r="I18" s="41" t="n">
        <x:v>0</x:v>
      </x:c>
      <x:c r="J18" s="41" t="n">
        <x:f>IF(I18=0,0,I18-H18)</x:f>
        <x:v>0</x:v>
      </x:c>
      <x:c r="K18" s="42" t="n">
        <x:v>0</x:v>
      </x:c>
      <x:c r="L18" s="42" t="n">
        <x:f>ROUND(I18*K18,2)</x:f>
        <x:v>0</x:v>
      </x:c>
      <x:c r="M18" s="40" t="str">
        <x:v>ODOM発注済み</x:v>
      </x:c>
      <x:c r="N18" s="40" t="str">
        <x:v>ODOM用は発注済みのため今回購入なし</x:v>
      </x:c>
      <x:c r="O18" s="40" t="str">
        <x:v>ODOM:R2,R5-R9</x:v>
      </x:c>
      <x:c r="P18" s="40" t="str">
        <x:v>https://www.digikey.jp/ja/products/detail/yageo/RC0603FR-07100RL/726888</x:v>
      </x:c>
      <x:c r="Q18" s="40" t="str"/>
    </x:row>
    <x:row r="19" ht="32" customHeight="1">
      <x:c r="A19" s="28" t="str">
        <x:v>フィルタ</x:v>
      </x:c>
      <x:c r="B19" s="28" t="str">
        <x:v>フェライト 600R@100MHz 0603</x:v>
      </x:c>
      <x:c r="C19" s="28" t="str">
        <x:v>Murata</x:v>
      </x:c>
      <x:c r="D19" s="28" t="str">
        <x:v>BLM18AG601SN1D</x:v>
      </x:c>
      <x:c r="E19" s="28" t="str">
        <x:v>490-1014-1-ND</x:v>
      </x:c>
      <x:c r="F19" s="36" t="n">
        <x:v>1</x:v>
      </x:c>
      <x:c r="G19" s="36" t="n">
        <x:v>1</x:v>
      </x:c>
      <x:c r="H19" s="36" t="n">
        <x:f>F19*4</x:f>
        <x:v>4</x:v>
      </x:c>
      <x:c r="I19" s="36" t="n">
        <x:v>5</x:v>
      </x:c>
      <x:c r="J19" s="36" t="n">
        <x:f>IF(I19=0,0,I19-H19)</x:f>
        <x:v>1</x:v>
      </x:c>
      <x:c r="K19" s="29" t="n">
        <x:v>17</x:v>
      </x:c>
      <x:c r="L19" s="29" t="n">
        <x:f>ROUND(I19*K19,2)</x:f>
        <x:v>85</x:v>
      </x:c>
      <x:c r="M19" s="28" t="str">
        <x:v>在庫あり</x:v>
      </x:c>
      <x:c r="N19" s="28" t="str">
        <x:v>必要4個＋予備1個。10個購入より総額が低い</x:v>
      </x:c>
      <x:c r="O19" s="28" t="str">
        <x:v>UNIT:FB1 / ODOM:FB1</x:v>
      </x:c>
      <x:c r="P19" s="28" t="str">
        <x:v>https://www.digikey.jp/ja/products/detail/murata-electronics/BLM18AG601SN1D/584225</x:v>
      </x:c>
      <x:c r="Q19" s="28" t="str"/>
    </x:row>
    <x:row r="20" ht="32" customHeight="1">
      <x:c r="A20" s="37" t="str">
        <x:v>保護</x:v>
      </x:c>
      <x:c r="B20" s="37" t="str">
        <x:v>CAN ESD SOT-23</x:v>
      </x:c>
      <x:c r="C20" s="37" t="str">
        <x:v>Texas Instruments</x:v>
      </x:c>
      <x:c r="D20" s="37" t="str">
        <x:v>ESD2CAN24DBZRQ1</x:v>
      </x:c>
      <x:c r="E20" s="37" t="str">
        <x:v>296-ESD2CAN24DBZRQ1CT-ND</x:v>
      </x:c>
      <x:c r="F20" s="38" t="n">
        <x:v>2</x:v>
      </x:c>
      <x:c r="G20" s="38" t="n">
        <x:v>1</x:v>
      </x:c>
      <x:c r="H20" s="38" t="n">
        <x:f>F20*4</x:f>
        <x:v>8</x:v>
      </x:c>
      <x:c r="I20" s="38" t="n">
        <x:v>10</x:v>
      </x:c>
      <x:c r="J20" s="38" t="n">
        <x:f>IF(I20=0,0,I20-H20)</x:f>
        <x:v>2</x:v>
      </x:c>
      <x:c r="K20" s="39" t="n">
        <x:v>89.5</x:v>
      </x:c>
      <x:c r="L20" s="39" t="n">
        <x:f>ROUND(I20*K20,2)</x:f>
        <x:v>895</x:v>
      </x:c>
      <x:c r="M20" s="37" t="str">
        <x:v>在庫あり</x:v>
      </x:c>
      <x:c r="N20" s="37" t="str">
        <x:v>必要8個＋予備2個。10個価格を適用</x:v>
      </x:c>
      <x:c r="O20" s="37" t="str">
        <x:v>UNIT:D1,D2 / ODOM:D1</x:v>
      </x:c>
      <x:c r="P20" s="37" t="str">
        <x:v>https://www.digikey.jp/ja/products/detail/texas-instruments/ESD2CAN24DBZRQ1/16982262</x:v>
      </x:c>
      <x:c r="Q20" s="37" t="str"/>
    </x:row>
    <x:row r="21" ht="32" customHeight="1">
      <x:c r="A21" s="40" t="str">
        <x:v>保護</x:v>
      </x:c>
      <x:c r="B21" s="40" t="str">
        <x:v>2ch ESD 5.5V SOT-23</x:v>
      </x:c>
      <x:c r="C21" s="40" t="str">
        <x:v>Texas Instruments</x:v>
      </x:c>
      <x:c r="D21" s="40" t="str">
        <x:v>ESDS452DBZR</x:v>
      </x:c>
      <x:c r="E21" s="40" t="str">
        <x:v>296-ESDS452DBZRCT-ND</x:v>
      </x:c>
      <x:c r="F21" s="41" t="n">
        <x:v>0</x:v>
      </x:c>
      <x:c r="G21" s="41" t="n">
        <x:v>3</x:v>
      </x:c>
      <x:c r="H21" s="41" t="n">
        <x:f>F21*4</x:f>
        <x:v>0</x:v>
      </x:c>
      <x:c r="I21" s="41" t="n">
        <x:v>0</x:v>
      </x:c>
      <x:c r="J21" s="41" t="n">
        <x:f>IF(I21=0,0,I21-H21)</x:f>
        <x:v>0</x:v>
      </x:c>
      <x:c r="K21" s="42" t="n">
        <x:v>0</x:v>
      </x:c>
      <x:c r="L21" s="42" t="n">
        <x:f>ROUND(I21*K21,2)</x:f>
        <x:v>0</x:v>
      </x:c>
      <x:c r="M21" s="40" t="str">
        <x:v>ODOM発注済み</x:v>
      </x:c>
      <x:c r="N21" s="40" t="str">
        <x:v>ODOM用は発注済みのため今回購入なし</x:v>
      </x:c>
      <x:c r="O21" s="40" t="str">
        <x:v>ODOM:D2-D4</x:v>
      </x:c>
      <x:c r="P21" s="40" t="str">
        <x:v>https://www.digikey.jp/ja/products/detail/texas-instruments/ESDS452DBZR/23065579</x:v>
      </x:c>
      <x:c r="Q21" s="40" t="str">
        <x:v>2ch双方向、5.5V standoff、3pF</x:v>
      </x:c>
    </x:row>
    <x:row r="22" ht="32" customHeight="1">
      <x:c r="A22" s="37" t="str">
        <x:v>LED</x:v>
      </x:c>
      <x:c r="B22" s="37" t="str">
        <x:v>緑 LED 0603</x:v>
      </x:c>
      <x:c r="C22" s="37" t="str">
        <x:v>Lite-On</x:v>
      </x:c>
      <x:c r="D22" s="37" t="str">
        <x:v>LTST-C190KGKT</x:v>
      </x:c>
      <x:c r="E22" s="37" t="str">
        <x:v>160-1435-1-ND</x:v>
      </x:c>
      <x:c r="F22" s="38" t="n">
        <x:v>2</x:v>
      </x:c>
      <x:c r="G22" s="38" t="n">
        <x:v>2</x:v>
      </x:c>
      <x:c r="H22" s="38" t="n">
        <x:f>F22*4</x:f>
        <x:v>8</x:v>
      </x:c>
      <x:c r="I22" s="38" t="n">
        <x:v>10</x:v>
      </x:c>
      <x:c r="J22" s="38" t="n">
        <x:f>IF(I22=0,0,I22-H22)</x:f>
        <x:v>2</x:v>
      </x:c>
      <x:c r="K22" s="39" t="n">
        <x:v>17.5</x:v>
      </x:c>
      <x:c r="L22" s="39" t="n">
        <x:f>ROUND(I22*K22,2)</x:f>
        <x:v>175</x:v>
      </x:c>
      <x:c r="M22" s="37" t="str">
        <x:v>在庫あり</x:v>
      </x:c>
      <x:c r="N22" s="37" t="str">
        <x:v>必要8個＋予備2個。10個価格を適用</x:v>
      </x:c>
      <x:c r="O22" s="37" t="str">
        <x:v>UNIT:D6,D8 / ODOM:D6,D8</x:v>
      </x:c>
      <x:c r="P22" s="37" t="str">
        <x:v>https://www.digikey.jp/ja/products/detail/liteon/LTST-C190KGKT/386815</x:v>
      </x:c>
      <x:c r="Q22" s="37" t="str"/>
    </x:row>
    <x:row r="23" ht="32" customHeight="1">
      <x:c r="A23" s="28" t="str">
        <x:v>ダイオード</x:v>
      </x:c>
      <x:c r="B23" s="28" t="str">
        <x:v>BAT54S-HF dual Schottky</x:v>
      </x:c>
      <x:c r="C23" s="28" t="str">
        <x:v>Comchip Technology</x:v>
      </x:c>
      <x:c r="D23" s="28" t="str">
        <x:v>BAT54S-HF</x:v>
      </x:c>
      <x:c r="E23" s="28" t="str">
        <x:v>641-BAT54S-HFCT-ND</x:v>
      </x:c>
      <x:c r="F23" s="36" t="n">
        <x:v>1</x:v>
      </x:c>
      <x:c r="G23" s="36" t="n">
        <x:v>0</x:v>
      </x:c>
      <x:c r="H23" s="36" t="n">
        <x:f>F23*4</x:f>
        <x:v>4</x:v>
      </x:c>
      <x:c r="I23" s="36" t="n">
        <x:v>10</x:v>
      </x:c>
      <x:c r="J23" s="36" t="n">
        <x:f>IF(I23=0,0,I23-H23)</x:f>
        <x:v>6</x:v>
      </x:c>
      <x:c r="K23" s="29" t="n">
        <x:v>21.1</x:v>
      </x:c>
      <x:c r="L23" s="29" t="n">
        <x:f>ROUND(I23*K23,2)</x:f>
        <x:v>211</x:v>
      </x:c>
      <x:c r="M23" s="28" t="str">
        <x:v>在庫あり</x:v>
      </x:c>
      <x:c r="N23" s="28" t="str">
        <x:v>必要4個。6個購入との差額1円なので10個</x:v>
      </x:c>
      <x:c r="O23" s="28" t="str">
        <x:v>UNIT:D7</x:v>
      </x:c>
      <x:c r="P23" s="28" t="str">
        <x:v>https://www.digikey.jp/ja/products/detail/comchip-technology/BAT54S-HF/10443826</x:v>
      </x:c>
      <x:c r="Q23" s="28" t="str">
        <x:v>onsemi BAT54SLT1GとDiotec BAT54Sが欠品のため、高在庫の同構成・同外形品へ置換</x:v>
      </x:c>
    </x:row>
    <x:row r="24" ht="32" customHeight="1">
      <x:c r="A24" s="37" t="str">
        <x:v>LED</x:v>
      </x:c>
      <x:c r="B24" s="37" t="str">
        <x:v>黄 LED 0603</x:v>
      </x:c>
      <x:c r="C24" s="37" t="str">
        <x:v>Lite-On</x:v>
      </x:c>
      <x:c r="D24" s="37" t="str">
        <x:v>LTST-C190KSKT</x:v>
      </x:c>
      <x:c r="E24" s="37" t="str">
        <x:v>160-1437-1-ND</x:v>
      </x:c>
      <x:c r="F24" s="38" t="n">
        <x:v>1</x:v>
      </x:c>
      <x:c r="G24" s="38" t="n">
        <x:v>1</x:v>
      </x:c>
      <x:c r="H24" s="38" t="n">
        <x:f>F24*4</x:f>
        <x:v>4</x:v>
      </x:c>
      <x:c r="I24" s="38" t="n">
        <x:v>5</x:v>
      </x:c>
      <x:c r="J24" s="38" t="n">
        <x:f>IF(I24=0,0,I24-H24)</x:f>
        <x:v>1</x:v>
      </x:c>
      <x:c r="K24" s="39" t="n">
        <x:v>25</x:v>
      </x:c>
      <x:c r="L24" s="39" t="n">
        <x:f>ROUND(I24*K24,2)</x:f>
        <x:v>125</x:v>
      </x:c>
      <x:c r="M24" s="37" t="str">
        <x:v>在庫あり</x:v>
      </x:c>
      <x:c r="N24" s="37" t="str">
        <x:v>必要4個＋予備1個</x:v>
      </x:c>
      <x:c r="O24" s="37" t="str">
        <x:v>UNIT:D9 / ODOM:D9</x:v>
      </x:c>
      <x:c r="P24" s="37" t="str">
        <x:v>https://www.digikey.jp/ja/products/detail/liteon/LTST-C190KSKT/386819</x:v>
      </x:c>
      <x:c r="Q24" s="37" t="str"/>
    </x:row>
    <x:row r="25" ht="32" customHeight="1">
      <x:c r="A25" s="28" t="str">
        <x:v>LED</x:v>
      </x:c>
      <x:c r="B25" s="28" t="str">
        <x:v>赤 LED 0603</x:v>
      </x:c>
      <x:c r="C25" s="28" t="str">
        <x:v>Lite-On</x:v>
      </x:c>
      <x:c r="D25" s="28" t="str">
        <x:v>LTST-C190KRKT</x:v>
      </x:c>
      <x:c r="E25" s="28" t="str">
        <x:v>160-1436-1-ND</x:v>
      </x:c>
      <x:c r="F25" s="36" t="n">
        <x:v>1</x:v>
      </x:c>
      <x:c r="G25" s="36" t="n">
        <x:v>1</x:v>
      </x:c>
      <x:c r="H25" s="36" t="n">
        <x:f>F25*4</x:f>
        <x:v>4</x:v>
      </x:c>
      <x:c r="I25" s="36" t="n">
        <x:v>5</x:v>
      </x:c>
      <x:c r="J25" s="36" t="n">
        <x:f>IF(I25=0,0,I25-H25)</x:f>
        <x:v>1</x:v>
      </x:c>
      <x:c r="K25" s="29" t="n">
        <x:v>23</x:v>
      </x:c>
      <x:c r="L25" s="29" t="n">
        <x:f>ROUND(I25*K25,2)</x:f>
        <x:v>115</x:v>
      </x:c>
      <x:c r="M25" s="28" t="str">
        <x:v>在庫あり</x:v>
      </x:c>
      <x:c r="N25" s="28" t="str">
        <x:v>必要4個＋予備1個</x:v>
      </x:c>
      <x:c r="O25" s="28" t="str">
        <x:v>UNIT:D10 / ODOM:D10</x:v>
      </x:c>
      <x:c r="P25" s="28" t="str">
        <x:v>https://www.digikey.jp/ja/products/detail/liteon/LTST-C190KRKT/386816</x:v>
      </x:c>
      <x:c r="Q25" s="28" t="str"/>
    </x:row>
    <x:row r="26" ht="32" customHeight="1">
      <x:c r="A26" s="40" t="str">
        <x:v>コネクタ</x:v>
      </x:c>
      <x:c r="B26" s="40" t="str">
        <x:v>JST GH 2極 横向き</x:v>
      </x:c>
      <x:c r="C26" s="40" t="str">
        <x:v>JST</x:v>
      </x:c>
      <x:c r="D26" s="40" t="str">
        <x:v>SM02B-GHS-TB</x:v>
      </x:c>
      <x:c r="E26" s="40" t="str">
        <x:v>455-1564-1-ND</x:v>
      </x:c>
      <x:c r="F26" s="41" t="n">
        <x:v>1</x:v>
      </x:c>
      <x:c r="G26" s="41" t="n">
        <x:v>1</x:v>
      </x:c>
      <x:c r="H26" s="41" t="n">
        <x:f>F26*4</x:f>
        <x:v>4</x:v>
      </x:c>
      <x:c r="I26" s="41" t="n">
        <x:v>0</x:v>
      </x:c>
      <x:c r="J26" s="41" t="n">
        <x:f>IF(I26=0,0,I26-H26)</x:f>
        <x:v>0</x:v>
      </x:c>
      <x:c r="K26" s="42" t="n">
        <x:v>59</x:v>
      </x:c>
      <x:c r="L26" s="42" t="n">
        <x:f>ROUND(I26*K26,2)</x:f>
        <x:v>0</x:v>
      </x:c>
      <x:c r="M26" s="40" t="str">
        <x:v>手持ち</x:v>
      </x:c>
      <x:c r="N26" s="40" t="str">
        <x:v>購入不要（必要5個）</x:v>
      </x:c>
      <x:c r="O26" s="40" t="str">
        <x:v>UNIT:J1 / ODOM:J1</x:v>
      </x:c>
      <x:c r="P26" s="40" t="str">
        <x:v>https://www.digikey.jp/ja/products/detail/jst-sales-america-inc/SM02B-GHS-TB/807832</x:v>
      </x:c>
      <x:c r="Q26" s="40" t="str">
        <x:v>手持ち在庫を使用</x:v>
      </x:c>
    </x:row>
    <x:row r="27" ht="32" customHeight="1">
      <x:c r="A27" s="30" t="str">
        <x:v>コネクタ</x:v>
      </x:c>
      <x:c r="B27" s="30" t="str">
        <x:v>JST GH 3極 横向き</x:v>
      </x:c>
      <x:c r="C27" s="30" t="str">
        <x:v>JST</x:v>
      </x:c>
      <x:c r="D27" s="30" t="str">
        <x:v>SM03B-GHS-TB</x:v>
      </x:c>
      <x:c r="E27" s="30" t="str">
        <x:v>455-SM03B-GHS-TBCT-ND</x:v>
      </x:c>
      <x:c r="F27" s="43" t="n">
        <x:v>4</x:v>
      </x:c>
      <x:c r="G27" s="43" t="n">
        <x:v>1</x:v>
      </x:c>
      <x:c r="H27" s="43" t="n">
        <x:f>F27*4</x:f>
        <x:v>16</x:v>
      </x:c>
      <x:c r="I27" s="43" t="n">
        <x:v>20</x:v>
      </x:c>
      <x:c r="J27" s="43" t="n">
        <x:f>IF(I27=0,0,I27-H27)</x:f>
        <x:v>4</x:v>
      </x:c>
      <x:c r="K27" s="44" t="n">
        <x:v>53.2</x:v>
      </x:c>
      <x:c r="L27" s="44" t="n">
        <x:f>ROUND(I27*K27,2)</x:f>
        <x:v>1064</x:v>
      </x:c>
      <x:c r="M27" s="30" t="str">
        <x:v>欠品/繰越注文</x:v>
      </x:c>
      <x:c r="N27" s="30" t="str">
        <x:v>必要16個＋予備4個。10個価格。欠品のため納期確認必須</x:v>
      </x:c>
      <x:c r="O27" s="30" t="str">
        <x:v>UNIT:J2-J5 / ODOM:J2</x:v>
      </x:c>
      <x:c r="P27" s="30" t="str">
        <x:v>https://www.digikey.jp/ja/products/detail/jst-sales-america-inc/SM03B-GHS-TB/807787</x:v>
      </x:c>
      <x:c r="Q27" s="30" t="str">
        <x:v>2026-09-07確認時に在庫0、標準リードタイム16週。完全同一footprintの在庫品なし</x:v>
      </x:c>
    </x:row>
    <x:row r="28" ht="32" customHeight="1">
      <x:c r="A28" s="40" t="str">
        <x:v>コネクタ</x:v>
      </x:c>
      <x:c r="B28" s="40" t="str">
        <x:v>JST GH 6極 横向き</x:v>
      </x:c>
      <x:c r="C28" s="40" t="str">
        <x:v>JST</x:v>
      </x:c>
      <x:c r="D28" s="40" t="str">
        <x:v>SM06B-GHS-TB</x:v>
      </x:c>
      <x:c r="E28" s="40" t="str">
        <x:v>455-1568-1-ND</x:v>
      </x:c>
      <x:c r="F28" s="41" t="n">
        <x:v>1</x:v>
      </x:c>
      <x:c r="G28" s="41" t="n">
        <x:v>0</x:v>
      </x:c>
      <x:c r="H28" s="41" t="n">
        <x:f>F28*4</x:f>
        <x:v>4</x:v>
      </x:c>
      <x:c r="I28" s="41" t="n">
        <x:v>0</x:v>
      </x:c>
      <x:c r="J28" s="41" t="n">
        <x:f>IF(I28=0,0,I28-H28)</x:f>
        <x:v>0</x:v>
      </x:c>
      <x:c r="K28" s="42" t="n">
        <x:v>83</x:v>
      </x:c>
      <x:c r="L28" s="42" t="n">
        <x:f>ROUND(I28*K28,2)</x:f>
        <x:v>0</x:v>
      </x:c>
      <x:c r="M28" s="40" t="str">
        <x:v>手持ち</x:v>
      </x:c>
      <x:c r="N28" s="40" t="str">
        <x:v>購入不要（必要4個）</x:v>
      </x:c>
      <x:c r="O28" s="40" t="str">
        <x:v>UNIT:J6</x:v>
      </x:c>
      <x:c r="P28" s="40" t="str">
        <x:v>https://www.digikey.jp/ja/products/detail/jst-sales-america-inc/SM06B-GHS-TB/807790</x:v>
      </x:c>
      <x:c r="Q28" s="40" t="str">
        <x:v>手持ち在庫を使用</x:v>
      </x:c>
    </x:row>
    <x:row r="29" ht="32" customHeight="1">
      <x:c r="A29" s="40" t="str">
        <x:v>コネクタ</x:v>
      </x:c>
      <x:c r="B29" s="40" t="str">
        <x:v>JST GH 6極 垂直</x:v>
      </x:c>
      <x:c r="C29" s="40" t="str">
        <x:v>JST</x:v>
      </x:c>
      <x:c r="D29" s="40" t="str">
        <x:v>BM06B-GHS-TBT</x:v>
      </x:c>
      <x:c r="E29" s="40" t="str">
        <x:v>455-BM06B-GHS-TBTCT-ND</x:v>
      </x:c>
      <x:c r="F29" s="41" t="n">
        <x:v>1</x:v>
      </x:c>
      <x:c r="G29" s="41" t="n">
        <x:v>1</x:v>
      </x:c>
      <x:c r="H29" s="41" t="n">
        <x:f>F29*4</x:f>
        <x:v>4</x:v>
      </x:c>
      <x:c r="I29" s="41" t="n">
        <x:v>0</x:v>
      </x:c>
      <x:c r="J29" s="41" t="n">
        <x:f>IF(I29=0,0,I29-H29)</x:f>
        <x:v>0</x:v>
      </x:c>
      <x:c r="K29" s="42" t="n">
        <x:v>78</x:v>
      </x:c>
      <x:c r="L29" s="42" t="n">
        <x:f>ROUND(I29*K29,2)</x:f>
        <x:v>0</x:v>
      </x:c>
      <x:c r="M29" s="40" t="str">
        <x:v>手持ち</x:v>
      </x:c>
      <x:c r="N29" s="40" t="str">
        <x:v>購入不要（必要5個）</x:v>
      </x:c>
      <x:c r="O29" s="40" t="str">
        <x:v>UNIT:J7 / ODOM:J8</x:v>
      </x:c>
      <x:c r="P29" s="40" t="str">
        <x:v>https://www.digikey.jp/ja/products/detail/jst-sales-america-inc/BM06B-GHS-TBT/807804</x:v>
      </x:c>
      <x:c r="Q29" s="40" t="str">
        <x:v>手持ち在庫を使用</x:v>
      </x:c>
    </x:row>
    <x:row r="30" ht="32" customHeight="1">
      <x:c r="A30" s="40" t="str">
        <x:v>コネクタ</x:v>
      </x:c>
      <x:c r="B30" s="40" t="str">
        <x:v>JST XH 4極 垂直</x:v>
      </x:c>
      <x:c r="C30" s="40" t="str">
        <x:v>JST</x:v>
      </x:c>
      <x:c r="D30" s="40" t="str">
        <x:v>B4B-XH-AM</x:v>
      </x:c>
      <x:c r="E30" s="40" t="str">
        <x:v>455-B4B-XH-AM-ND</x:v>
      </x:c>
      <x:c r="F30" s="41" t="n">
        <x:v>0</x:v>
      </x:c>
      <x:c r="G30" s="41" t="n">
        <x:v>3</x:v>
      </x:c>
      <x:c r="H30" s="41" t="n">
        <x:f>F30*4</x:f>
        <x:v>0</x:v>
      </x:c>
      <x:c r="I30" s="41" t="n">
        <x:v>0</x:v>
      </x:c>
      <x:c r="J30" s="41" t="n">
        <x:f>IF(I30=0,0,I30-H30)</x:f>
        <x:v>0</x:v>
      </x:c>
      <x:c r="K30" s="42" t="n">
        <x:v>0</x:v>
      </x:c>
      <x:c r="L30" s="42" t="n">
        <x:f>ROUND(I30*K30,2)</x:f>
        <x:v>0</x:v>
      </x:c>
      <x:c r="M30" s="40" t="str">
        <x:v>ODOM発注済み</x:v>
      </x:c>
      <x:c r="N30" s="40" t="str">
        <x:v>ODOM用は発注済みのため今回購入なし</x:v>
      </x:c>
      <x:c r="O30" s="40" t="str">
        <x:v>ODOM:J4-J6</x:v>
      </x:c>
      <x:c r="P30" s="40" t="str">
        <x:v>https://www.digikey.jp/ja/products/detail/jst-sales-america-inc/B4B-XH-AM/1651035</x:v>
      </x:c>
      <x:c r="Q30" s="40" t="str"/>
    </x:row>
    <x:row r="31" ht="32" customHeight="1">
      <x:c r="A31" s="40" t="str">
        <x:v>コネクタ</x:v>
      </x:c>
      <x:c r="B31" s="40" t="str">
        <x:v>JST XH 8極 垂直</x:v>
      </x:c>
      <x:c r="C31" s="40" t="str">
        <x:v>JST</x:v>
      </x:c>
      <x:c r="D31" s="40" t="str">
        <x:v>B8B-XH-AM</x:v>
      </x:c>
      <x:c r="E31" s="40" t="str">
        <x:v>455-2232-ND</x:v>
      </x:c>
      <x:c r="F31" s="41" t="n">
        <x:v>0</x:v>
      </x:c>
      <x:c r="G31" s="41" t="n">
        <x:v>1</x:v>
      </x:c>
      <x:c r="H31" s="41" t="n">
        <x:f>F31*4</x:f>
        <x:v>0</x:v>
      </x:c>
      <x:c r="I31" s="41" t="n">
        <x:v>0</x:v>
      </x:c>
      <x:c r="J31" s="41" t="n">
        <x:f>IF(I31=0,0,I31-H31)</x:f>
        <x:v>0</x:v>
      </x:c>
      <x:c r="K31" s="42" t="n">
        <x:v>0</x:v>
      </x:c>
      <x:c r="L31" s="42" t="n">
        <x:f>ROUND(I31*K31,2)</x:f>
        <x:v>0</x:v>
      </x:c>
      <x:c r="M31" s="40" t="str">
        <x:v>ODOM発注済み</x:v>
      </x:c>
      <x:c r="N31" s="40" t="str">
        <x:v>ODOM用は発注済みのため今回購入なし</x:v>
      </x:c>
      <x:c r="O31" s="40" t="str">
        <x:v>ODOM:J7</x:v>
      </x:c>
      <x:c r="P31" s="40" t="str">
        <x:v>https://www.digikey.jp/ja/products/detail/jst-sales-america-inc/B8B-XH-AM/1651030</x:v>
      </x:c>
      <x:c r="Q31" s="40" t="str"/>
    </x:row>
    <x:row r="32" ht="32" customHeight="1">
      <x:c r="A32" s="37" t="str">
        <x:v>スイッチ</x:v>
      </x:c>
      <x:c r="B32" s="37" t="str">
        <x:v>SPDT スライドスイッチ</x:v>
      </x:c>
      <x:c r="C32" s="37" t="str">
        <x:v>C&amp;K/Littelfuse</x:v>
      </x:c>
      <x:c r="D32" s="37" t="str">
        <x:v>JS102011SAQN</x:v>
      </x:c>
      <x:c r="E32" s="37" t="str">
        <x:v>401-1999-1-ND</x:v>
      </x:c>
      <x:c r="F32" s="38" t="n">
        <x:v>1</x:v>
      </x:c>
      <x:c r="G32" s="38" t="n">
        <x:v>1</x:v>
      </x:c>
      <x:c r="H32" s="38" t="n">
        <x:f>F32*4</x:f>
        <x:v>4</x:v>
      </x:c>
      <x:c r="I32" s="38" t="n">
        <x:v>5</x:v>
      </x:c>
      <x:c r="J32" s="38" t="n">
        <x:f>IF(I32=0,0,I32-H32)</x:f>
        <x:v>1</x:v>
      </x:c>
      <x:c r="K32" s="39" t="n">
        <x:v>150</x:v>
      </x:c>
      <x:c r="L32" s="39" t="n">
        <x:f>ROUND(I32*K32,2)</x:f>
        <x:v>750</x:v>
      </x:c>
      <x:c r="M32" s="37" t="str">
        <x:v>在庫あり</x:v>
      </x:c>
      <x:c r="N32" s="37" t="str">
        <x:v>必要4個＋予備1個</x:v>
      </x:c>
      <x:c r="O32" s="37" t="str">
        <x:v>UNIT:SW1 / ODOM:SW1</x:v>
      </x:c>
      <x:c r="P32" s="37" t="str">
        <x:v>https://www.digikey.jp/ja/products/detail/c-k/JS102011SAQN/1640095</x:v>
      </x:c>
      <x:c r="Q32" s="37" t="str"/>
    </x:row>
    <x:row r="33" ht="32" customHeight="1">
      <x:c r="A33" s="28" t="str">
        <x:v>スイッチ</x:v>
      </x:c>
      <x:c r="B33" s="28" t="str">
        <x:v>3極 DIPスイッチ SMD</x:v>
      </x:c>
      <x:c r="C33" s="28" t="str">
        <x:v>Same Sky</x:v>
      </x:c>
      <x:c r="D33" s="28" t="str">
        <x:v>DS04-254-1-03BK-SMT</x:v>
      </x:c>
      <x:c r="E33" s="28" t="str">
        <x:v>2223-DS04-254-1-03BK-SMT-ND</x:v>
      </x:c>
      <x:c r="F33" s="36" t="n">
        <x:v>1</x:v>
      </x:c>
      <x:c r="G33" s="36" t="n">
        <x:v>1</x:v>
      </x:c>
      <x:c r="H33" s="36" t="n">
        <x:f>F33*4</x:f>
        <x:v>4</x:v>
      </x:c>
      <x:c r="I33" s="36" t="n">
        <x:v>5</x:v>
      </x:c>
      <x:c r="J33" s="36" t="n">
        <x:f>IF(I33=0,0,I33-H33)</x:f>
        <x:v>1</x:v>
      </x:c>
      <x:c r="K33" s="29" t="n">
        <x:v>204</x:v>
      </x:c>
      <x:c r="L33" s="29" t="n">
        <x:f>ROUND(I33*K33,2)</x:f>
        <x:v>1020</x:v>
      </x:c>
      <x:c r="M33" s="28" t="str">
        <x:v>在庫あり</x:v>
      </x:c>
      <x:c r="N33" s="28" t="str">
        <x:v>必要4個＋予備1個</x:v>
      </x:c>
      <x:c r="O33" s="28" t="str">
        <x:v>UNIT:SW3 / ODOM:SW3</x:v>
      </x:c>
      <x:c r="P33" s="28" t="str">
        <x:v>https://www.digikey.jp/ja/products/detail/same-sky-formerly-cui-devices/DS04-254-1-03BK-SMT/11310852</x:v>
      </x:c>
      <x:c r="Q33" s="28" t="str">
        <x:v>A6S-3104-H在庫0。pad中心列間8.9mm、縦pitch2.54mm、推奨pad 1.1×1.5mmが既存KiCad footprintと一致</x:v>
      </x:c>
    </x:row>
    <x:row r="34" ht="32" customHeight="1">
      <x:c r="A34" s="37" t="str">
        <x:v>電源IC</x:v>
      </x:c>
      <x:c r="B34" s="37" t="str">
        <x:v>Ideal diode 1.5A SC-70-6</x:v>
      </x:c>
      <x:c r="C34" s="37" t="str">
        <x:v>Texas Instruments</x:v>
      </x:c>
      <x:c r="D34" s="37" t="str">
        <x:v>LM66100DCKT</x:v>
      </x:c>
      <x:c r="E34" s="37" t="str">
        <x:v>296-53540-1-ND</x:v>
      </x:c>
      <x:c r="F34" s="38" t="n">
        <x:v>1</x:v>
      </x:c>
      <x:c r="G34" s="38" t="n">
        <x:v>1</x:v>
      </x:c>
      <x:c r="H34" s="38" t="n">
        <x:f>F34*4</x:f>
        <x:v>4</x:v>
      </x:c>
      <x:c r="I34" s="38" t="n">
        <x:v>5</x:v>
      </x:c>
      <x:c r="J34" s="38" t="n">
        <x:f>IF(I34=0,0,I34-H34)</x:f>
        <x:v>1</x:v>
      </x:c>
      <x:c r="K34" s="39" t="n">
        <x:v>160</x:v>
      </x:c>
      <x:c r="L34" s="39" t="n">
        <x:f>ROUND(I34*K34,2)</x:f>
        <x:v>800</x:v>
      </x:c>
      <x:c r="M34" s="37" t="str">
        <x:v>在庫あり</x:v>
      </x:c>
      <x:c r="N34" s="37" t="str">
        <x:v>必要4個＋予備1個</x:v>
      </x:c>
      <x:c r="O34" s="37" t="str">
        <x:v>UNIT:U1 / ODOM:U5</x:v>
      </x:c>
      <x:c r="P34" s="37" t="str">
        <x:v>https://www.digikey.jp/ja/products/detail/texas-instruments/LM66100DCKT/10273182</x:v>
      </x:c>
      <x:c r="Q34" s="37" t="str">
        <x:v>DCKRと同一IC・同一SC-70-6、梱包数量だけ異なる</x:v>
      </x:c>
    </x:row>
    <x:row r="35" ht="32" customHeight="1">
      <x:c r="A35" s="28" t="str">
        <x:v>電源IC</x:v>
      </x:c>
      <x:c r="B35" s="28" t="str">
        <x:v>3.3V LDO SOT-223</x:v>
      </x:c>
      <x:c r="C35" s="28" t="str">
        <x:v>Texas Instruments</x:v>
      </x:c>
      <x:c r="D35" s="28" t="str">
        <x:v>TLV76133DCYR</x:v>
      </x:c>
      <x:c r="E35" s="28" t="str">
        <x:v>296-TLV76133DCYRCT-ND</x:v>
      </x:c>
      <x:c r="F35" s="36" t="n">
        <x:v>1</x:v>
      </x:c>
      <x:c r="G35" s="36" t="n">
        <x:v>1</x:v>
      </x:c>
      <x:c r="H35" s="36" t="n">
        <x:f>F35*4</x:f>
        <x:v>4</x:v>
      </x:c>
      <x:c r="I35" s="36" t="n">
        <x:v>5</x:v>
      </x:c>
      <x:c r="J35" s="36" t="n">
        <x:f>IF(I35=0,0,I35-H35)</x:f>
        <x:v>1</x:v>
      </x:c>
      <x:c r="K35" s="29" t="n">
        <x:v>98</x:v>
      </x:c>
      <x:c r="L35" s="29" t="n">
        <x:f>ROUND(I35*K35,2)</x:f>
        <x:v>490</x:v>
      </x:c>
      <x:c r="M35" s="28" t="str">
        <x:v>在庫あり</x:v>
      </x:c>
      <x:c r="N35" s="28" t="str">
        <x:v>必要4個＋予備1個</x:v>
      </x:c>
      <x:c r="O35" s="28" t="str">
        <x:v>UNIT:U2 / ODOM:U2</x:v>
      </x:c>
      <x:c r="P35" s="28" t="str">
        <x:v>https://www.digikey.jp/ja/products/detail/texas-instruments/TLV76133DCYR/18716472</x:v>
      </x:c>
      <x:c r="Q35" s="28" t="str">
        <x:v>TLV1117LV33DCYR生産中止のため、同一ピン配置・セラミック安定品へ置換</x:v>
      </x:c>
    </x:row>
    <x:row r="36" ht="32" customHeight="1">
      <x:c r="A36" s="37" t="str">
        <x:v>通信IC</x:v>
      </x:c>
      <x:c r="B36" s="37" t="str">
        <x:v>CAN transceiver with VIO</x:v>
      </x:c>
      <x:c r="C36" s="37" t="str">
        <x:v>Texas Instruments</x:v>
      </x:c>
      <x:c r="D36" s="37" t="str">
        <x:v>TCAN1051VDRQ1</x:v>
      </x:c>
      <x:c r="E36" s="37" t="str">
        <x:v>296-44228-1-ND</x:v>
      </x:c>
      <x:c r="F36" s="38" t="n">
        <x:v>2</x:v>
      </x:c>
      <x:c r="G36" s="38" t="n">
        <x:v>1</x:v>
      </x:c>
      <x:c r="H36" s="38" t="n">
        <x:f>F36*4</x:f>
        <x:v>8</x:v>
      </x:c>
      <x:c r="I36" s="38" t="n">
        <x:v>10</x:v>
      </x:c>
      <x:c r="J36" s="38" t="n">
        <x:f>IF(I36=0,0,I36-H36)</x:f>
        <x:v>2</x:v>
      </x:c>
      <x:c r="K36" s="39" t="n">
        <x:v>318.8</x:v>
      </x:c>
      <x:c r="L36" s="39" t="n">
        <x:f>ROUND(I36*K36,2)</x:f>
        <x:v>3188</x:v>
      </x:c>
      <x:c r="M36" s="37" t="str">
        <x:v>在庫あり</x:v>
      </x:c>
      <x:c r="N36" s="37" t="str">
        <x:v>必要8個＋予備2個。10個価格を適用</x:v>
      </x:c>
      <x:c r="O36" s="37" t="str">
        <x:v>UNIT:U3,U5 / ODOM:U4</x:v>
      </x:c>
      <x:c r="P36" s="37" t="str">
        <x:v>https://www.digikey.jp/ja/products/detail/texas-instruments/TCAN1051VDRQ1/6052110</x:v>
      </x:c>
      <x:c r="Q36" s="37" t="str"/>
    </x:row>
    <x:row r="37" ht="32" customHeight="1">
      <x:c r="A37" s="40" t="str">
        <x:v>ロジックIC</x:v>
      </x:c>
      <x:c r="B37" s="40" t="str">
        <x:v>Dual Schmitt buffer SOT-23-6</x:v>
      </x:c>
      <x:c r="C37" s="40" t="str">
        <x:v>Texas Instruments</x:v>
      </x:c>
      <x:c r="D37" s="40" t="str">
        <x:v>SN74LVC2G17DBVT</x:v>
      </x:c>
      <x:c r="E37" s="40" t="str">
        <x:v>296-26621-1-ND</x:v>
      </x:c>
      <x:c r="F37" s="41" t="n">
        <x:v>0</x:v>
      </x:c>
      <x:c r="G37" s="41" t="n">
        <x:v>3</x:v>
      </x:c>
      <x:c r="H37" s="41" t="n">
        <x:f>F37*4</x:f>
        <x:v>0</x:v>
      </x:c>
      <x:c r="I37" s="41" t="n">
        <x:v>0</x:v>
      </x:c>
      <x:c r="J37" s="41" t="n">
        <x:f>IF(I37=0,0,I37-H37)</x:f>
        <x:v>0</x:v>
      </x:c>
      <x:c r="K37" s="42" t="n">
        <x:v>0</x:v>
      </x:c>
      <x:c r="L37" s="42" t="n">
        <x:f>ROUND(I37*K37,2)</x:f>
        <x:v>0</x:v>
      </x:c>
      <x:c r="M37" s="40" t="str">
        <x:v>ODOM発注済み</x:v>
      </x:c>
      <x:c r="N37" s="40" t="str">
        <x:v>ODOM用は発注済みのため今回購入なし</x:v>
      </x:c>
      <x:c r="O37" s="40" t="str">
        <x:v>ODOM:U3,U7,U9</x:v>
      </x:c>
      <x:c r="P37" s="40" t="str">
        <x:v>https://www.digikey.jp/ja/products/detail/texas-instruments/SN74LVC2G17DBVT/2255079</x:v>
      </x:c>
      <x:c r="Q37" s="40" t="str">
        <x:v>DBVRと同一IC・同一SOT-23-6、梱包数量だけ異なる</x:v>
      </x:c>
    </x:row>
    <x:row r="38" ht="32" customHeight="1">
      <x:c r="A38" s="37" t="str">
        <x:v>水晶</x:v>
      </x:c>
      <x:c r="B38" s="37" t="str">
        <x:v>8MHz 8pF 500R 3225-4pad</x:v>
      </x:c>
      <x:c r="C38" s="37" t="str">
        <x:v>Fox Electronics</x:v>
      </x:c>
      <x:c r="D38" s="37" t="str">
        <x:v>FC3BAEBDI8.0-T1</x:v>
      </x:c>
      <x:c r="E38" s="37" t="str">
        <x:v>631-FC3BAEBDI8.0-T1CT-ND</x:v>
      </x:c>
      <x:c r="F38" s="38" t="n">
        <x:v>1</x:v>
      </x:c>
      <x:c r="G38" s="38" t="n">
        <x:v>1</x:v>
      </x:c>
      <x:c r="H38" s="38" t="n">
        <x:f>F38*4</x:f>
        <x:v>4</x:v>
      </x:c>
      <x:c r="I38" s="38" t="n">
        <x:v>5</x:v>
      </x:c>
      <x:c r="J38" s="38" t="n">
        <x:f>IF(I38=0,0,I38-H38)</x:f>
        <x:v>1</x:v>
      </x:c>
      <x:c r="K38" s="39" t="n">
        <x:v>98</x:v>
      </x:c>
      <x:c r="L38" s="39" t="n">
        <x:f>ROUND(I38*K38,2)</x:f>
        <x:v>490</x:v>
      </x:c>
      <x:c r="M38" s="37" t="str">
        <x:v>在庫あり</x:v>
      </x:c>
      <x:c r="N38" s="37" t="str">
        <x:v>必要4個＋予備1個</x:v>
      </x:c>
      <x:c r="O38" s="37" t="str">
        <x:v>UNIT:Y1 / ODOM:Y1</x:v>
      </x:c>
      <x:c r="P38" s="37" t="str">
        <x:v>https://www.digikey.jp/ja/products/detail/fox-electronics/FC3BAEBDI8-0-T1/21293019</x:v>
      </x:c>
      <x:c r="Q38" s="37" t="str">
        <x:v>ECS元品欠品。8MHz、CL=8pF、ESR=500Ω、3225-4pad一致。AEC-Q200</x:v>
      </x:c>
    </x:row>
    <x:row r="39" ht="32" customHeight="1">
      <x:c r="A39" s="40" t="str">
        <x:v>手持ち</x:v>
      </x:c>
      <x:c r="B39" s="40" t="str">
        <x:v>Drive MCU LQFP64</x:v>
      </x:c>
      <x:c r="C39" s="40" t="str">
        <x:v>STMicroelectronics</x:v>
      </x:c>
      <x:c r="D39" s="40" t="str">
        <x:v>STM32G474RET6</x:v>
      </x:c>
      <x:c r="E39" s="40" t="str">
        <x:v>497-STM32G474RET6-ND</x:v>
      </x:c>
      <x:c r="F39" s="41" t="n">
        <x:v>1</x:v>
      </x:c>
      <x:c r="G39" s="41" t="n">
        <x:v>0</x:v>
      </x:c>
      <x:c r="H39" s="41" t="n">
        <x:f>F39*4</x:f>
        <x:v>4</x:v>
      </x:c>
      <x:c r="I39" s="41" t="n">
        <x:v>0</x:v>
      </x:c>
      <x:c r="J39" s="41" t="n">
        <x:f>IF(I39=0,0,I39-H39)</x:f>
        <x:v>0</x:v>
      </x:c>
      <x:c r="K39" s="42" t="n">
        <x:v>0</x:v>
      </x:c>
      <x:c r="L39" s="42" t="n">
        <x:f>ROUND(I39*K39,2)</x:f>
        <x:v>0</x:v>
      </x:c>
      <x:c r="M39" s="40" t="str">
        <x:v>手持ち10個</x:v>
      </x:c>
      <x:c r="N39" s="40" t="str">
        <x:v>購入不要（4個使用）</x:v>
      </x:c>
      <x:c r="O39" s="40" t="str">
        <x:v>UNIT:U4</x:v>
      </x:c>
      <x:c r="P39" s="40" t="str">
        <x:v>https://www.digikey.jp/ja/products/detail/stmicroelectronics/STM32G474RET6/10326780</x:v>
      </x:c>
      <x:c r="Q39" s="40" t="str"/>
    </x:row>
    <x:row r="40" ht="32" customHeight="1">
      <x:c r="A40" s="40" t="str">
        <x:v>手持ち</x:v>
      </x:c>
      <x:c r="B40" s="40" t="str">
        <x:v>Odometry MCU LQFP64</x:v>
      </x:c>
      <x:c r="C40" s="40" t="str">
        <x:v>STMicroelectronics</x:v>
      </x:c>
      <x:c r="D40" s="40" t="str">
        <x:v>STM32F405RGT6</x:v>
      </x:c>
      <x:c r="E40" s="40" t="str">
        <x:v>497-STM32F405RGT6-ND</x:v>
      </x:c>
      <x:c r="F40" s="41" t="n">
        <x:v>0</x:v>
      </x:c>
      <x:c r="G40" s="41" t="n">
        <x:v>1</x:v>
      </x:c>
      <x:c r="H40" s="41" t="n">
        <x:f>F40*4</x:f>
        <x:v>0</x:v>
      </x:c>
      <x:c r="I40" s="41" t="n">
        <x:v>0</x:v>
      </x:c>
      <x:c r="J40" s="41" t="n">
        <x:f>IF(I40=0,0,I40-H40)</x:f>
        <x:v>0</x:v>
      </x:c>
      <x:c r="K40" s="42" t="n">
        <x:v>0</x:v>
      </x:c>
      <x:c r="L40" s="42" t="n">
        <x:f>ROUND(I40*K40,2)</x:f>
        <x:v>0</x:v>
      </x:c>
      <x:c r="M40" s="40" t="str">
        <x:v>ODOM発注済み</x:v>
      </x:c>
      <x:c r="N40" s="40" t="str">
        <x:v>ODOM用は発注済みのため今回購入なし</x:v>
      </x:c>
      <x:c r="O40" s="40" t="str">
        <x:v>ODOM:U1</x:v>
      </x:c>
      <x:c r="P40" s="40" t="str">
        <x:v>https://www.digikey.jp/ja/products/detail/stmicroelectronics/STM32F405RGT6/1851915</x:v>
      </x:c>
      <x:c r="Q40" s="40" t="str"/>
    </x:row>
    <x:row r="41" ht="32" customHeight="1">
      <x:c r="A41" s="40" t="str">
        <x:v>手持ち</x:v>
      </x:c>
      <x:c r="B41" s="40" t="str">
        <x:v>IMU 8pin breakout</x:v>
      </x:c>
      <x:c r="C41" s="40" t="str">
        <x:v>TDK InvenSense</x:v>
      </x:c>
      <x:c r="D41" s="40" t="str">
        <x:v>ICM-42688-P breakout</x:v>
      </x:c>
      <x:c r="E41" s="40" t="str"/>
      <x:c r="F41" s="41" t="n">
        <x:v>0</x:v>
      </x:c>
      <x:c r="G41" s="41" t="n">
        <x:v>1</x:v>
      </x:c>
      <x:c r="H41" s="41" t="n">
        <x:f>F41*4</x:f>
        <x:v>0</x:v>
      </x:c>
      <x:c r="I41" s="41" t="n">
        <x:v>0</x:v>
      </x:c>
      <x:c r="J41" s="41" t="n">
        <x:f>IF(I41=0,0,I41-H41)</x:f>
        <x:v>0</x:v>
      </x:c>
      <x:c r="K41" s="42" t="n">
        <x:v>0</x:v>
      </x:c>
      <x:c r="L41" s="42" t="n">
        <x:f>ROUND(I41*K41,2)</x:f>
        <x:v>0</x:v>
      </x:c>
      <x:c r="M41" s="40" t="str">
        <x:v>ODOM発注済み</x:v>
      </x:c>
      <x:c r="N41" s="40" t="str">
        <x:v>ODOM用は発注済みのため今回購入なし</x:v>
      </x:c>
      <x:c r="O41" s="40" t="str">
        <x:v>ODOM:J7接続</x:v>
      </x:c>
      <x:c r="P41" s="40" t="str"/>
      <x:c r="Q41" s="40" t="str">
        <x:v>基板実装部品ではない</x:v>
      </x:c>
    </x:row>
  </x:sheetData>
  <x:mergeCells>
    <x:mergeCell ref="A2:Q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2" hidden="0" customWidth="1"/>
    <x:col min="2" max="2" width="32" hidden="0" customWidth="1"/>
    <x:col min="3" max="3" width="30" hidden="0" customWidth="1"/>
    <x:col min="4" max="4" width="42" hidden="0" customWidth="1"/>
    <x:col min="5" max="5" width="12" hidden="0" customWidth="1"/>
    <x:col min="6" max="6" width="9" hidden="0" customWidth="1"/>
    <x:col min="7" max="7" width="13" hidden="0" customWidth="1"/>
    <x:col min="8" max="8" width="14" hidden="0" customWidth="1"/>
  </x:cols>
  <x:sheetData>
    <x:row r="1" ht="30" customHeight="1">
      <x:c r="A1" s="3" t="str">
        <x:v>駆動モジュール基板 — 4枚分（実機3＋予備1）</x:v>
      </x:c>
      <x:c r="B1" s="2"/>
      <x:c r="C1" s="2"/>
      <x:c r="D1" s="2"/>
      <x:c r="E1" s="2"/>
      <x:c r="F1" s="2"/>
      <x:c r="G1" s="2"/>
      <x:c r="H1" s="2"/>
    </x:row>
    <x:row r="2" ht="32" customHeight="1">
      <x:c r="A2" s="12" t="str">
        <x:v>分類</x:v>
      </x:c>
      <x:c r="B2" s="12" t="str">
        <x:v>品名/仕様</x:v>
      </x:c>
      <x:c r="C2" s="12" t="str">
        <x:v>メーカー品番</x:v>
      </x:c>
      <x:c r="D2" s="12" t="str">
        <x:v>使用箇所</x:v>
      </x:c>
      <x:c r="E2" s="12" t="str">
        <x:v>1枚あたり</x:v>
      </x:c>
      <x:c r="F2" s="12" t="str">
        <x:v>枚数</x:v>
      </x:c>
      <x:c r="G2" s="12" t="str">
        <x:v>合計必要数</x:v>
      </x:c>
      <x:c r="H2" s="12" t="str">
        <x:v>調達区分</x:v>
      </x:c>
    </x:row>
    <x:row r="3" ht="24" customHeight="1">
      <x:c r="A3" s="28" t="str">
        <x:v>コンデンサ</x:v>
      </x:c>
      <x:c r="B3" s="28" t="str">
        <x:v>100nF 50V X7R 0603</x:v>
      </x:c>
      <x:c r="C3" s="28" t="str">
        <x:v>C0603C104K5RACTU</x:v>
      </x:c>
      <x:c r="D3" s="28" t="str">
        <x:v>UNIT:C1,C2,C5-C9,C13,C15,C17,C18,C201,C203</x:v>
      </x:c>
      <x:c r="E3" s="36" t="n">
        <x:v>13</x:v>
      </x:c>
      <x:c r="F3" s="36" t="n">
        <x:v>4</x:v>
      </x:c>
      <x:c r="G3" s="36" t="n">
        <x:f>E3*F3</x:f>
        <x:v>52</x:v>
      </x:c>
      <x:c r="H3" s="28" t="str">
        <x:v>今回発注</x:v>
      </x:c>
    </x:row>
    <x:row r="4" ht="24" customHeight="1">
      <x:c r="A4" s="28" t="str">
        <x:v>コンデンサ</x:v>
      </x:c>
      <x:c r="B4" s="28" t="str">
        <x:v>10pF 50V C0G 0603</x:v>
      </x:c>
      <x:c r="C4" s="28" t="str">
        <x:v>CL10C100JB8NNNC</x:v>
      </x:c>
      <x:c r="D4" s="28" t="str">
        <x:v>UNIT:C3,C4</x:v>
      </x:c>
      <x:c r="E4" s="36" t="n">
        <x:v>2</x:v>
      </x:c>
      <x:c r="F4" s="36" t="n">
        <x:v>4</x:v>
      </x:c>
      <x:c r="G4" s="36" t="n">
        <x:f>E4*F4</x:f>
        <x:v>8</x:v>
      </x:c>
      <x:c r="H4" s="28" t="str">
        <x:v>今回発注</x:v>
      </x:c>
    </x:row>
    <x:row r="5" ht="24" customHeight="1">
      <x:c r="A5" s="28" t="str">
        <x:v>コンデンサ</x:v>
      </x:c>
      <x:c r="B5" s="28" t="str">
        <x:v>4.7uF 25V X7R 0805</x:v>
      </x:c>
      <x:c r="C5" s="28" t="str">
        <x:v>GRM21BZ71E475KE15K</x:v>
      </x:c>
      <x:c r="D5" s="28" t="str">
        <x:v>UNIT:C10</x:v>
      </x:c>
      <x:c r="E5" s="36" t="n">
        <x:v>1</x:v>
      </x:c>
      <x:c r="F5" s="36" t="n">
        <x:v>4</x:v>
      </x:c>
      <x:c r="G5" s="36" t="n">
        <x:f>E5*F5</x:f>
        <x:v>4</x:v>
      </x:c>
      <x:c r="H5" s="28" t="str">
        <x:v>今回発注</x:v>
      </x:c>
    </x:row>
    <x:row r="6" ht="24" customHeight="1">
      <x:c r="A6" s="28" t="str">
        <x:v>コンデンサ</x:v>
      </x:c>
      <x:c r="B6" s="28" t="str">
        <x:v>1uF 25V X7R 0603</x:v>
      </x:c>
      <x:c r="C6" s="28" t="str">
        <x:v>C1608X7R1E105K080AB</x:v>
      </x:c>
      <x:c r="D6" s="28" t="str">
        <x:v>UNIT:C11,C14</x:v>
      </x:c>
      <x:c r="E6" s="36" t="n">
        <x:v>2</x:v>
      </x:c>
      <x:c r="F6" s="36" t="n">
        <x:v>4</x:v>
      </x:c>
      <x:c r="G6" s="36" t="n">
        <x:f>E6*F6</x:f>
        <x:v>8</x:v>
      </x:c>
      <x:c r="H6" s="28" t="str">
        <x:v>今回発注</x:v>
      </x:c>
    </x:row>
    <x:row r="7" ht="24" customHeight="1">
      <x:c r="A7" s="28" t="str">
        <x:v>コンデンサ</x:v>
      </x:c>
      <x:c r="B7" s="28" t="str">
        <x:v>10nF 50V C0G 0603</x:v>
      </x:c>
      <x:c r="C7" s="28" t="str">
        <x:v>C1608C0G1H103J080AA</x:v>
      </x:c>
      <x:c r="D7" s="28" t="str">
        <x:v>UNIT:C12</x:v>
      </x:c>
      <x:c r="E7" s="36" t="n">
        <x:v>1</x:v>
      </x:c>
      <x:c r="F7" s="36" t="n">
        <x:v>4</x:v>
      </x:c>
      <x:c r="G7" s="36" t="n">
        <x:f>E7*F7</x:f>
        <x:v>4</x:v>
      </x:c>
      <x:c r="H7" s="28" t="str">
        <x:v>今回発注</x:v>
      </x:c>
    </x:row>
    <x:row r="8" ht="24" customHeight="1">
      <x:c r="A8" s="28" t="str">
        <x:v>コンデンサ</x:v>
      </x:c>
      <x:c r="B8" s="28" t="str">
        <x:v>10nF 100V X7R 0603</x:v>
      </x:c>
      <x:c r="C8" s="28" t="str">
        <x:v>GRM188R72A103KA01D</x:v>
      </x:c>
      <x:c r="D8" s="28" t="str">
        <x:v>UNIT:C16</x:v>
      </x:c>
      <x:c r="E8" s="36" t="n">
        <x:v>1</x:v>
      </x:c>
      <x:c r="F8" s="36" t="n">
        <x:v>4</x:v>
      </x:c>
      <x:c r="G8" s="36" t="n">
        <x:f>E8*F8</x:f>
        <x:v>4</x:v>
      </x:c>
      <x:c r="H8" s="28" t="str">
        <x:v>今回発注</x:v>
      </x:c>
    </x:row>
    <x:row r="9" ht="24" customHeight="1">
      <x:c r="A9" s="28" t="str">
        <x:v>コンデンサ</x:v>
      </x:c>
      <x:c r="B9" s="28" t="str">
        <x:v>2.2uF 25V X7R 0805</x:v>
      </x:c>
      <x:c r="C9" s="28" t="str">
        <x:v>GCM21BR71E225KA73L</x:v>
      </x:c>
      <x:c r="D9" s="28" t="str">
        <x:v>UNIT:C101</x:v>
      </x:c>
      <x:c r="E9" s="36" t="n">
        <x:v>1</x:v>
      </x:c>
      <x:c r="F9" s="36" t="n">
        <x:v>4</x:v>
      </x:c>
      <x:c r="G9" s="36" t="n">
        <x:f>E9*F9</x:f>
        <x:v>4</x:v>
      </x:c>
      <x:c r="H9" s="28" t="str">
        <x:v>今回発注</x:v>
      </x:c>
    </x:row>
    <x:row r="10" ht="24" customHeight="1">
      <x:c r="A10" s="28" t="str">
        <x:v>コンデンサ</x:v>
      </x:c>
      <x:c r="B10" s="28" t="str">
        <x:v>10uF 10V X7R 0805</x:v>
      </x:c>
      <x:c r="C10" s="28" t="str">
        <x:v>C2012X7R1A106K125AC</x:v>
      </x:c>
      <x:c r="D10" s="28" t="str">
        <x:v>UNIT:C202,C204</x:v>
      </x:c>
      <x:c r="E10" s="36" t="n">
        <x:v>2</x:v>
      </x:c>
      <x:c r="F10" s="36" t="n">
        <x:v>4</x:v>
      </x:c>
      <x:c r="G10" s="36" t="n">
        <x:f>E10*F10</x:f>
        <x:v>8</x:v>
      </x:c>
      <x:c r="H10" s="28" t="str">
        <x:v>今回発注</x:v>
      </x:c>
    </x:row>
    <x:row r="11" ht="24" customHeight="1">
      <x:c r="A11" s="28" t="str">
        <x:v>抵抗</x:v>
      </x:c>
      <x:c r="B11" s="28" t="str">
        <x:v>120R 1% 0603</x:v>
      </x:c>
      <x:c r="C11" s="28" t="str">
        <x:v>RC0603FR-07120RL</x:v>
      </x:c>
      <x:c r="D11" s="28" t="str">
        <x:v>UNIT:R1</x:v>
      </x:c>
      <x:c r="E11" s="36" t="n">
        <x:v>1</x:v>
      </x:c>
      <x:c r="F11" s="36" t="n">
        <x:v>4</x:v>
      </x:c>
      <x:c r="G11" s="36" t="n">
        <x:f>E11*F11</x:f>
        <x:v>4</x:v>
      </x:c>
      <x:c r="H11" s="28" t="str">
        <x:v>今回発注</x:v>
      </x:c>
    </x:row>
    <x:row r="12" ht="24" customHeight="1">
      <x:c r="A12" s="28" t="str">
        <x:v>抵抗</x:v>
      </x:c>
      <x:c r="B12" s="28" t="str">
        <x:v>0R 0603</x:v>
      </x:c>
      <x:c r="C12" s="28" t="str">
        <x:v>RC0603JR-070RL</x:v>
      </x:c>
      <x:c r="D12" s="28" t="str">
        <x:v>UNIT:R2,R3,R15-R18</x:v>
      </x:c>
      <x:c r="E12" s="36" t="n">
        <x:v>6</x:v>
      </x:c>
      <x:c r="F12" s="36" t="n">
        <x:v>4</x:v>
      </x:c>
      <x:c r="G12" s="36" t="n">
        <x:f>E12*F12</x:f>
        <x:v>24</x:v>
      </x:c>
      <x:c r="H12" s="28" t="str">
        <x:v>今回発注</x:v>
      </x:c>
    </x:row>
    <x:row r="13" ht="24" customHeight="1">
      <x:c r="A13" s="28" t="str">
        <x:v>抵抗</x:v>
      </x:c>
      <x:c r="B13" s="28" t="str">
        <x:v>10k 1% 0603</x:v>
      </x:c>
      <x:c r="C13" s="28" t="str">
        <x:v>RC0603FR-0710KL</x:v>
      </x:c>
      <x:c r="D13" s="28" t="str">
        <x:v>UNIT:R4</x:v>
      </x:c>
      <x:c r="E13" s="36" t="n">
        <x:v>1</x:v>
      </x:c>
      <x:c r="F13" s="36" t="n">
        <x:v>4</x:v>
      </x:c>
      <x:c r="G13" s="36" t="n">
        <x:f>E13*F13</x:f>
        <x:v>4</x:v>
      </x:c>
      <x:c r="H13" s="28" t="str">
        <x:v>今回発注</x:v>
      </x:c>
    </x:row>
    <x:row r="14" ht="24" customHeight="1">
      <x:c r="A14" s="28" t="str">
        <x:v>抵抗</x:v>
      </x:c>
      <x:c r="B14" s="28" t="str">
        <x:v>33k 1% 0603</x:v>
      </x:c>
      <x:c r="C14" s="28" t="str">
        <x:v>RC0603FR-0733KL</x:v>
      </x:c>
      <x:c r="D14" s="28" t="str">
        <x:v>UNIT:R13</x:v>
      </x:c>
      <x:c r="E14" s="36" t="n">
        <x:v>1</x:v>
      </x:c>
      <x:c r="F14" s="36" t="n">
        <x:v>4</x:v>
      </x:c>
      <x:c r="G14" s="36" t="n">
        <x:f>E14*F14</x:f>
        <x:v>4</x:v>
      </x:c>
      <x:c r="H14" s="28" t="str">
        <x:v>今回発注</x:v>
      </x:c>
    </x:row>
    <x:row r="15" ht="24" customHeight="1">
      <x:c r="A15" s="28" t="str">
        <x:v>抵抗</x:v>
      </x:c>
      <x:c r="B15" s="28" t="str">
        <x:v>22k 1% 0603</x:v>
      </x:c>
      <x:c r="C15" s="28" t="str">
        <x:v>RC0603FR-0722KL</x:v>
      </x:c>
      <x:c r="D15" s="28" t="str">
        <x:v>UNIT:R14</x:v>
      </x:c>
      <x:c r="E15" s="36" t="n">
        <x:v>1</x:v>
      </x:c>
      <x:c r="F15" s="36" t="n">
        <x:v>4</x:v>
      </x:c>
      <x:c r="G15" s="36" t="n">
        <x:f>E15*F15</x:f>
        <x:v>4</x:v>
      </x:c>
      <x:c r="H15" s="28" t="str">
        <x:v>今回発注</x:v>
      </x:c>
    </x:row>
    <x:row r="16" ht="24" customHeight="1">
      <x:c r="A16" s="28" t="str">
        <x:v>抵抗</x:v>
      </x:c>
      <x:c r="B16" s="28" t="str">
        <x:v>1k 1% 0603</x:v>
      </x:c>
      <x:c r="C16" s="28" t="str">
        <x:v>RC0603FR-071KL</x:v>
      </x:c>
      <x:c r="D16" s="28" t="str">
        <x:v>UNIT:R19-R22</x:v>
      </x:c>
      <x:c r="E16" s="36" t="n">
        <x:v>4</x:v>
      </x:c>
      <x:c r="F16" s="36" t="n">
        <x:v>4</x:v>
      </x:c>
      <x:c r="G16" s="36" t="n">
        <x:f>E16*F16</x:f>
        <x:v>16</x:v>
      </x:c>
      <x:c r="H16" s="28" t="str">
        <x:v>今回発注</x:v>
      </x:c>
    </x:row>
    <x:row r="17" ht="24" customHeight="1">
      <x:c r="A17" s="28" t="str">
        <x:v>フィルタ</x:v>
      </x:c>
      <x:c r="B17" s="28" t="str">
        <x:v>フェライト 600R@100MHz 0603</x:v>
      </x:c>
      <x:c r="C17" s="28" t="str">
        <x:v>BLM18AG601SN1D</x:v>
      </x:c>
      <x:c r="D17" s="28" t="str">
        <x:v>UNIT:FB1</x:v>
      </x:c>
      <x:c r="E17" s="36" t="n">
        <x:v>1</x:v>
      </x:c>
      <x:c r="F17" s="36" t="n">
        <x:v>4</x:v>
      </x:c>
      <x:c r="G17" s="36" t="n">
        <x:f>E17*F17</x:f>
        <x:v>4</x:v>
      </x:c>
      <x:c r="H17" s="28" t="str">
        <x:v>今回発注</x:v>
      </x:c>
    </x:row>
    <x:row r="18" ht="24" customHeight="1">
      <x:c r="A18" s="28" t="str">
        <x:v>保護</x:v>
      </x:c>
      <x:c r="B18" s="28" t="str">
        <x:v>CAN ESD SOT-23</x:v>
      </x:c>
      <x:c r="C18" s="28" t="str">
        <x:v>ESD2CAN24DBZRQ1</x:v>
      </x:c>
      <x:c r="D18" s="28" t="str">
        <x:v>UNIT:D1,D2</x:v>
      </x:c>
      <x:c r="E18" s="36" t="n">
        <x:v>2</x:v>
      </x:c>
      <x:c r="F18" s="36" t="n">
        <x:v>4</x:v>
      </x:c>
      <x:c r="G18" s="36" t="n">
        <x:f>E18*F18</x:f>
        <x:v>8</x:v>
      </x:c>
      <x:c r="H18" s="28" t="str">
        <x:v>今回発注</x:v>
      </x:c>
    </x:row>
    <x:row r="19" ht="24" customHeight="1">
      <x:c r="A19" s="28" t="str">
        <x:v>LED</x:v>
      </x:c>
      <x:c r="B19" s="28" t="str">
        <x:v>緑 LED 0603</x:v>
      </x:c>
      <x:c r="C19" s="28" t="str">
        <x:v>LTST-C190KGKT</x:v>
      </x:c>
      <x:c r="D19" s="28" t="str">
        <x:v>UNIT:D6,D8</x:v>
      </x:c>
      <x:c r="E19" s="36" t="n">
        <x:v>2</x:v>
      </x:c>
      <x:c r="F19" s="36" t="n">
        <x:v>4</x:v>
      </x:c>
      <x:c r="G19" s="36" t="n">
        <x:f>E19*F19</x:f>
        <x:v>8</x:v>
      </x:c>
      <x:c r="H19" s="28" t="str">
        <x:v>今回発注</x:v>
      </x:c>
    </x:row>
    <x:row r="20" ht="24" customHeight="1">
      <x:c r="A20" s="28" t="str">
        <x:v>ダイオード</x:v>
      </x:c>
      <x:c r="B20" s="28" t="str">
        <x:v>BAT54S-HF dual Schottky</x:v>
      </x:c>
      <x:c r="C20" s="28" t="str">
        <x:v>BAT54S-HF</x:v>
      </x:c>
      <x:c r="D20" s="28" t="str">
        <x:v>UNIT:D7</x:v>
      </x:c>
      <x:c r="E20" s="36" t="n">
        <x:v>1</x:v>
      </x:c>
      <x:c r="F20" s="36" t="n">
        <x:v>4</x:v>
      </x:c>
      <x:c r="G20" s="36" t="n">
        <x:f>E20*F20</x:f>
        <x:v>4</x:v>
      </x:c>
      <x:c r="H20" s="28" t="str">
        <x:v>今回発注</x:v>
      </x:c>
    </x:row>
    <x:row r="21" ht="24" customHeight="1">
      <x:c r="A21" s="28" t="str">
        <x:v>LED</x:v>
      </x:c>
      <x:c r="B21" s="28" t="str">
        <x:v>黄 LED 0603</x:v>
      </x:c>
      <x:c r="C21" s="28" t="str">
        <x:v>LTST-C190KSKT</x:v>
      </x:c>
      <x:c r="D21" s="28" t="str">
        <x:v>UNIT:D9</x:v>
      </x:c>
      <x:c r="E21" s="36" t="n">
        <x:v>1</x:v>
      </x:c>
      <x:c r="F21" s="36" t="n">
        <x:v>4</x:v>
      </x:c>
      <x:c r="G21" s="36" t="n">
        <x:f>E21*F21</x:f>
        <x:v>4</x:v>
      </x:c>
      <x:c r="H21" s="28" t="str">
        <x:v>今回発注</x:v>
      </x:c>
    </x:row>
    <x:row r="22" ht="24" customHeight="1">
      <x:c r="A22" s="28" t="str">
        <x:v>LED</x:v>
      </x:c>
      <x:c r="B22" s="28" t="str">
        <x:v>赤 LED 0603</x:v>
      </x:c>
      <x:c r="C22" s="28" t="str">
        <x:v>LTST-C190KRKT</x:v>
      </x:c>
      <x:c r="D22" s="28" t="str">
        <x:v>UNIT:D10</x:v>
      </x:c>
      <x:c r="E22" s="36" t="n">
        <x:v>1</x:v>
      </x:c>
      <x:c r="F22" s="36" t="n">
        <x:v>4</x:v>
      </x:c>
      <x:c r="G22" s="36" t="n">
        <x:f>E22*F22</x:f>
        <x:v>4</x:v>
      </x:c>
      <x:c r="H22" s="28" t="str">
        <x:v>今回発注</x:v>
      </x:c>
    </x:row>
    <x:row r="23" ht="24" customHeight="1">
      <x:c r="A23" s="28" t="str">
        <x:v>コネクタ</x:v>
      </x:c>
      <x:c r="B23" s="28" t="str">
        <x:v>JST GH 2極 横向き</x:v>
      </x:c>
      <x:c r="C23" s="28" t="str">
        <x:v>SM02B-GHS-TB</x:v>
      </x:c>
      <x:c r="D23" s="28" t="str">
        <x:v>UNIT:J1</x:v>
      </x:c>
      <x:c r="E23" s="36" t="n">
        <x:v>1</x:v>
      </x:c>
      <x:c r="F23" s="36" t="n">
        <x:v>4</x:v>
      </x:c>
      <x:c r="G23" s="36" t="n">
        <x:f>E23*F23</x:f>
        <x:v>4</x:v>
      </x:c>
      <x:c r="H23" s="28" t="str">
        <x:v>手持ち</x:v>
      </x:c>
    </x:row>
    <x:row r="24" ht="24" customHeight="1">
      <x:c r="A24" s="28" t="str">
        <x:v>コネクタ</x:v>
      </x:c>
      <x:c r="B24" s="28" t="str">
        <x:v>JST GH 3極 横向き</x:v>
      </x:c>
      <x:c r="C24" s="28" t="str">
        <x:v>SM03B-GHS-TB</x:v>
      </x:c>
      <x:c r="D24" s="28" t="str">
        <x:v>UNIT:J2-J5</x:v>
      </x:c>
      <x:c r="E24" s="36" t="n">
        <x:v>4</x:v>
      </x:c>
      <x:c r="F24" s="36" t="n">
        <x:v>4</x:v>
      </x:c>
      <x:c r="G24" s="36" t="n">
        <x:f>E24*F24</x:f>
        <x:v>16</x:v>
      </x:c>
      <x:c r="H24" s="28" t="str">
        <x:v>今回発注</x:v>
      </x:c>
    </x:row>
    <x:row r="25" ht="24" customHeight="1">
      <x:c r="A25" s="28" t="str">
        <x:v>コネクタ</x:v>
      </x:c>
      <x:c r="B25" s="28" t="str">
        <x:v>JST GH 6極 横向き</x:v>
      </x:c>
      <x:c r="C25" s="28" t="str">
        <x:v>SM06B-GHS-TB</x:v>
      </x:c>
      <x:c r="D25" s="28" t="str">
        <x:v>UNIT:J6</x:v>
      </x:c>
      <x:c r="E25" s="36" t="n">
        <x:v>1</x:v>
      </x:c>
      <x:c r="F25" s="36" t="n">
        <x:v>4</x:v>
      </x:c>
      <x:c r="G25" s="36" t="n">
        <x:f>E25*F25</x:f>
        <x:v>4</x:v>
      </x:c>
      <x:c r="H25" s="28" t="str">
        <x:v>手持ち</x:v>
      </x:c>
    </x:row>
    <x:row r="26" ht="24" customHeight="1">
      <x:c r="A26" s="28" t="str">
        <x:v>コネクタ</x:v>
      </x:c>
      <x:c r="B26" s="28" t="str">
        <x:v>JST GH 6極 垂直</x:v>
      </x:c>
      <x:c r="C26" s="28" t="str">
        <x:v>BM06B-GHS-TBT</x:v>
      </x:c>
      <x:c r="D26" s="28" t="str">
        <x:v>UNIT:J7</x:v>
      </x:c>
      <x:c r="E26" s="36" t="n">
        <x:v>1</x:v>
      </x:c>
      <x:c r="F26" s="36" t="n">
        <x:v>4</x:v>
      </x:c>
      <x:c r="G26" s="36" t="n">
        <x:f>E26*F26</x:f>
        <x:v>4</x:v>
      </x:c>
      <x:c r="H26" s="28" t="str">
        <x:v>手持ち</x:v>
      </x:c>
    </x:row>
    <x:row r="27" ht="24" customHeight="1">
      <x:c r="A27" s="28" t="str">
        <x:v>スイッチ</x:v>
      </x:c>
      <x:c r="B27" s="28" t="str">
        <x:v>SPDT スライドスイッチ</x:v>
      </x:c>
      <x:c r="C27" s="28" t="str">
        <x:v>JS102011SAQN</x:v>
      </x:c>
      <x:c r="D27" s="28" t="str">
        <x:v>UNIT:SW1</x:v>
      </x:c>
      <x:c r="E27" s="36" t="n">
        <x:v>1</x:v>
      </x:c>
      <x:c r="F27" s="36" t="n">
        <x:v>4</x:v>
      </x:c>
      <x:c r="G27" s="36" t="n">
        <x:f>E27*F27</x:f>
        <x:v>4</x:v>
      </x:c>
      <x:c r="H27" s="28" t="str">
        <x:v>今回発注</x:v>
      </x:c>
    </x:row>
    <x:row r="28" ht="24" customHeight="1">
      <x:c r="A28" s="28" t="str">
        <x:v>スイッチ</x:v>
      </x:c>
      <x:c r="B28" s="28" t="str">
        <x:v>3極 DIPスイッチ SMD</x:v>
      </x:c>
      <x:c r="C28" s="28" t="str">
        <x:v>DS04-254-1-03BK-SMT</x:v>
      </x:c>
      <x:c r="D28" s="28" t="str">
        <x:v>UNIT:SW3</x:v>
      </x:c>
      <x:c r="E28" s="36" t="n">
        <x:v>1</x:v>
      </x:c>
      <x:c r="F28" s="36" t="n">
        <x:v>4</x:v>
      </x:c>
      <x:c r="G28" s="36" t="n">
        <x:f>E28*F28</x:f>
        <x:v>4</x:v>
      </x:c>
      <x:c r="H28" s="28" t="str">
        <x:v>今回発注</x:v>
      </x:c>
    </x:row>
    <x:row r="29" ht="24" customHeight="1">
      <x:c r="A29" s="28" t="str">
        <x:v>電源IC</x:v>
      </x:c>
      <x:c r="B29" s="28" t="str">
        <x:v>Ideal diode 1.5A SC-70-6</x:v>
      </x:c>
      <x:c r="C29" s="28" t="str">
        <x:v>LM66100DCKT</x:v>
      </x:c>
      <x:c r="D29" s="28" t="str">
        <x:v>UNIT:U1</x:v>
      </x:c>
      <x:c r="E29" s="36" t="n">
        <x:v>1</x:v>
      </x:c>
      <x:c r="F29" s="36" t="n">
        <x:v>4</x:v>
      </x:c>
      <x:c r="G29" s="36" t="n">
        <x:f>E29*F29</x:f>
        <x:v>4</x:v>
      </x:c>
      <x:c r="H29" s="28" t="str">
        <x:v>今回発注</x:v>
      </x:c>
    </x:row>
    <x:row r="30" ht="24" customHeight="1">
      <x:c r="A30" s="28" t="str">
        <x:v>電源IC</x:v>
      </x:c>
      <x:c r="B30" s="28" t="str">
        <x:v>3.3V LDO SOT-223</x:v>
      </x:c>
      <x:c r="C30" s="28" t="str">
        <x:v>TLV76133DCYR</x:v>
      </x:c>
      <x:c r="D30" s="28" t="str">
        <x:v>UNIT:U2</x:v>
      </x:c>
      <x:c r="E30" s="36" t="n">
        <x:v>1</x:v>
      </x:c>
      <x:c r="F30" s="36" t="n">
        <x:v>4</x:v>
      </x:c>
      <x:c r="G30" s="36" t="n">
        <x:f>E30*F30</x:f>
        <x:v>4</x:v>
      </x:c>
      <x:c r="H30" s="28" t="str">
        <x:v>今回発注</x:v>
      </x:c>
    </x:row>
    <x:row r="31" ht="24" customHeight="1">
      <x:c r="A31" s="28" t="str">
        <x:v>通信IC</x:v>
      </x:c>
      <x:c r="B31" s="28" t="str">
        <x:v>CAN transceiver with VIO</x:v>
      </x:c>
      <x:c r="C31" s="28" t="str">
        <x:v>TCAN1051VDRQ1</x:v>
      </x:c>
      <x:c r="D31" s="28" t="str">
        <x:v>UNIT:U3,U5</x:v>
      </x:c>
      <x:c r="E31" s="36" t="n">
        <x:v>2</x:v>
      </x:c>
      <x:c r="F31" s="36" t="n">
        <x:v>4</x:v>
      </x:c>
      <x:c r="G31" s="36" t="n">
        <x:f>E31*F31</x:f>
        <x:v>8</x:v>
      </x:c>
      <x:c r="H31" s="28" t="str">
        <x:v>今回発注</x:v>
      </x:c>
    </x:row>
    <x:row r="32" ht="24" customHeight="1">
      <x:c r="A32" s="28" t="str">
        <x:v>水晶</x:v>
      </x:c>
      <x:c r="B32" s="28" t="str">
        <x:v>8MHz 8pF 500R 3225-4pad</x:v>
      </x:c>
      <x:c r="C32" s="28" t="str">
        <x:v>FC3BAEBDI8.0-T1</x:v>
      </x:c>
      <x:c r="D32" s="28" t="str">
        <x:v>UNIT:Y1</x:v>
      </x:c>
      <x:c r="E32" s="36" t="n">
        <x:v>1</x:v>
      </x:c>
      <x:c r="F32" s="36" t="n">
        <x:v>4</x:v>
      </x:c>
      <x:c r="G32" s="36" t="n">
        <x:f>E32*F32</x:f>
        <x:v>4</x:v>
      </x:c>
      <x:c r="H32" s="28" t="str">
        <x:v>今回発注</x:v>
      </x:c>
    </x:row>
    <x:row r="33" ht="24" customHeight="1">
      <x:c r="A33" s="28" t="str">
        <x:v>手持ち</x:v>
      </x:c>
      <x:c r="B33" s="28" t="str">
        <x:v>Drive MCU LQFP64</x:v>
      </x:c>
      <x:c r="C33" s="28" t="str">
        <x:v>STM32G474RET6</x:v>
      </x:c>
      <x:c r="D33" s="28" t="str">
        <x:v>UNIT:U4</x:v>
      </x:c>
      <x:c r="E33" s="36" t="n">
        <x:v>1</x:v>
      </x:c>
      <x:c r="F33" s="36" t="n">
        <x:v>4</x:v>
      </x:c>
      <x:c r="G33" s="36" t="n">
        <x:f>E33*F33</x:f>
        <x:v>4</x:v>
      </x:c>
      <x:c r="H33" s="28" t="str">
        <x:v>手持ち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2" hidden="0" customWidth="1"/>
    <x:col min="2" max="2" width="32" hidden="0" customWidth="1"/>
    <x:col min="3" max="3" width="30" hidden="0" customWidth="1"/>
    <x:col min="4" max="4" width="42" hidden="0" customWidth="1"/>
    <x:col min="5" max="5" width="12" hidden="0" customWidth="1"/>
    <x:col min="6" max="6" width="9" hidden="0" customWidth="1"/>
    <x:col min="7" max="7" width="13" hidden="0" customWidth="1"/>
    <x:col min="8" max="8" width="14" hidden="0" customWidth="1"/>
  </x:cols>
  <x:sheetData>
    <x:row r="1" ht="30" customHeight="1">
      <x:c r="A1" s="3" t="str">
        <x:v>ODOM基板 — 1枚分（発注済み・組立確認用）</x:v>
      </x:c>
      <x:c r="B1" s="2"/>
      <x:c r="C1" s="2"/>
      <x:c r="D1" s="2"/>
      <x:c r="E1" s="2"/>
      <x:c r="F1" s="2"/>
      <x:c r="G1" s="2"/>
      <x:c r="H1" s="2"/>
    </x:row>
    <x:row r="2" ht="32" customHeight="1">
      <x:c r="A2" s="12" t="str">
        <x:v>分類</x:v>
      </x:c>
      <x:c r="B2" s="12" t="str">
        <x:v>品名/仕様</x:v>
      </x:c>
      <x:c r="C2" s="12" t="str">
        <x:v>メーカー品番</x:v>
      </x:c>
      <x:c r="D2" s="12" t="str">
        <x:v>使用箇所</x:v>
      </x:c>
      <x:c r="E2" s="12" t="str">
        <x:v>1枚あたり</x:v>
      </x:c>
      <x:c r="F2" s="12" t="str">
        <x:v>枚数</x:v>
      </x:c>
      <x:c r="G2" s="12" t="str">
        <x:v>合計必要数</x:v>
      </x:c>
      <x:c r="H2" s="12" t="str">
        <x:v>調達区分</x:v>
      </x:c>
    </x:row>
    <x:row r="3" ht="24" customHeight="1">
      <x:c r="A3" s="28" t="str">
        <x:v>コンデンサ</x:v>
      </x:c>
      <x:c r="B3" s="28" t="str">
        <x:v>100nF 50V X7R 0603</x:v>
      </x:c>
      <x:c r="C3" s="28" t="str">
        <x:v>C0603C104K5RACTU</x:v>
      </x:c>
      <x:c r="D3" s="28" t="str">
        <x:v>ODOM:C2,C4,C8,C9,C11-C14,C18,C19,C22,C28</x:v>
      </x:c>
      <x:c r="E3" s="36" t="n">
        <x:v>12</x:v>
      </x:c>
      <x:c r="F3" s="36" t="n">
        <x:v>1</x:v>
      </x:c>
      <x:c r="G3" s="36" t="n">
        <x:f>E3*F3</x:f>
        <x:v>12</x:v>
      </x:c>
      <x:c r="H3" s="28" t="str">
        <x:v>発注済み</x:v>
      </x:c>
    </x:row>
    <x:row r="4" ht="24" customHeight="1">
      <x:c r="A4" s="28" t="str">
        <x:v>コンデンサ</x:v>
      </x:c>
      <x:c r="B4" s="28" t="str">
        <x:v>10pF 50V C0G 0603</x:v>
      </x:c>
      <x:c r="C4" s="28" t="str">
        <x:v>CL10C100JB8NNNC</x:v>
      </x:c>
      <x:c r="D4" s="28" t="str">
        <x:v>ODOM:C6,C7</x:v>
      </x:c>
      <x:c r="E4" s="36" t="n">
        <x:v>2</x:v>
      </x:c>
      <x:c r="F4" s="36" t="n">
        <x:v>1</x:v>
      </x:c>
      <x:c r="G4" s="36" t="n">
        <x:f>E4*F4</x:f>
        <x:v>2</x:v>
      </x:c>
      <x:c r="H4" s="28" t="str">
        <x:v>発注済み</x:v>
      </x:c>
    </x:row>
    <x:row r="5" ht="24" customHeight="1">
      <x:c r="A5" s="28" t="str">
        <x:v>コンデンサ</x:v>
      </x:c>
      <x:c r="B5" s="28" t="str">
        <x:v>4.7uF 25V X7R 0805</x:v>
      </x:c>
      <x:c r="C5" s="28" t="str">
        <x:v>GRM21BZ71E475KE15K</x:v>
      </x:c>
      <x:c r="D5" s="28" t="str">
        <x:v>ODOM:C10</x:v>
      </x:c>
      <x:c r="E5" s="36" t="n">
        <x:v>1</x:v>
      </x:c>
      <x:c r="F5" s="36" t="n">
        <x:v>1</x:v>
      </x:c>
      <x:c r="G5" s="36" t="n">
        <x:f>E5*F5</x:f>
        <x:v>1</x:v>
      </x:c>
      <x:c r="H5" s="28" t="str">
        <x:v>発注済み</x:v>
      </x:c>
    </x:row>
    <x:row r="6" ht="24" customHeight="1">
      <x:c r="A6" s="28" t="str">
        <x:v>コンデンサ</x:v>
      </x:c>
      <x:c r="B6" s="28" t="str">
        <x:v>1uF 25V X7R 0603</x:v>
      </x:c>
      <x:c r="C6" s="28" t="str">
        <x:v>C1608X7R1E105K080AB</x:v>
      </x:c>
      <x:c r="D6" s="28" t="str">
        <x:v>ODOM:C16</x:v>
      </x:c>
      <x:c r="E6" s="36" t="n">
        <x:v>1</x:v>
      </x:c>
      <x:c r="F6" s="36" t="n">
        <x:v>1</x:v>
      </x:c>
      <x:c r="G6" s="36" t="n">
        <x:f>E6*F6</x:f>
        <x:v>1</x:v>
      </x:c>
      <x:c r="H6" s="28" t="str">
        <x:v>発注済み</x:v>
      </x:c>
    </x:row>
    <x:row r="7" ht="24" customHeight="1">
      <x:c r="A7" s="28" t="str">
        <x:v>コンデンサ</x:v>
      </x:c>
      <x:c r="B7" s="28" t="str">
        <x:v>2.2uF 25V X7R 0805</x:v>
      </x:c>
      <x:c r="C7" s="28" t="str">
        <x:v>GCM21BR71E225KA73L</x:v>
      </x:c>
      <x:c r="D7" s="28" t="str">
        <x:v>ODOM:C1,C20,C21,C27</x:v>
      </x:c>
      <x:c r="E7" s="36" t="n">
        <x:v>4</x:v>
      </x:c>
      <x:c r="F7" s="36" t="n">
        <x:v>1</x:v>
      </x:c>
      <x:c r="G7" s="36" t="n">
        <x:f>E7*F7</x:f>
        <x:v>4</x:v>
      </x:c>
      <x:c r="H7" s="28" t="str">
        <x:v>発注済み</x:v>
      </x:c>
    </x:row>
    <x:row r="8" ht="24" customHeight="1">
      <x:c r="A8" s="28" t="str">
        <x:v>コンデンサ</x:v>
      </x:c>
      <x:c r="B8" s="28" t="str">
        <x:v>10uF 10V X7R 0805</x:v>
      </x:c>
      <x:c r="C8" s="28" t="str">
        <x:v>C2012X7R1A106K125AC</x:v>
      </x:c>
      <x:c r="D8" s="28" t="str">
        <x:v>ODOM:C3,C5</x:v>
      </x:c>
      <x:c r="E8" s="36" t="n">
        <x:v>2</x:v>
      </x:c>
      <x:c r="F8" s="36" t="n">
        <x:v>1</x:v>
      </x:c>
      <x:c r="G8" s="36" t="n">
        <x:f>E8*F8</x:f>
        <x:v>2</x:v>
      </x:c>
      <x:c r="H8" s="28" t="str">
        <x:v>発注済み</x:v>
      </x:c>
    </x:row>
    <x:row r="9" ht="24" customHeight="1">
      <x:c r="A9" s="28" t="str">
        <x:v>抵抗</x:v>
      </x:c>
      <x:c r="B9" s="28" t="str">
        <x:v>120R 1% 0603</x:v>
      </x:c>
      <x:c r="C9" s="28" t="str">
        <x:v>RC0603FR-07120RL</x:v>
      </x:c>
      <x:c r="D9" s="28" t="str">
        <x:v>ODOM:R1</x:v>
      </x:c>
      <x:c r="E9" s="36" t="n">
        <x:v>1</x:v>
      </x:c>
      <x:c r="F9" s="36" t="n">
        <x:v>1</x:v>
      </x:c>
      <x:c r="G9" s="36" t="n">
        <x:f>E9*F9</x:f>
        <x:v>1</x:v>
      </x:c>
      <x:c r="H9" s="28" t="str">
        <x:v>発注済み</x:v>
      </x:c>
    </x:row>
    <x:row r="10" ht="24" customHeight="1">
      <x:c r="A10" s="28" t="str">
        <x:v>抵抗</x:v>
      </x:c>
      <x:c r="B10" s="28" t="str">
        <x:v>0R 0603</x:v>
      </x:c>
      <x:c r="C10" s="28" t="str">
        <x:v>RC0603JR-070RL</x:v>
      </x:c>
      <x:c r="D10" s="28" t="str">
        <x:v>ODOM:R3</x:v>
      </x:c>
      <x:c r="E10" s="36" t="n">
        <x:v>1</x:v>
      </x:c>
      <x:c r="F10" s="36" t="n">
        <x:v>1</x:v>
      </x:c>
      <x:c r="G10" s="36" t="n">
        <x:f>E10*F10</x:f>
        <x:v>1</x:v>
      </x:c>
      <x:c r="H10" s="28" t="str">
        <x:v>発注済み</x:v>
      </x:c>
    </x:row>
    <x:row r="11" ht="24" customHeight="1">
      <x:c r="A11" s="28" t="str">
        <x:v>抵抗</x:v>
      </x:c>
      <x:c r="B11" s="28" t="str">
        <x:v>10k 1% 0603</x:v>
      </x:c>
      <x:c r="C11" s="28" t="str">
        <x:v>RC0603FR-0710KL</x:v>
      </x:c>
      <x:c r="D11" s="28" t="str">
        <x:v>ODOM:R4</x:v>
      </x:c>
      <x:c r="E11" s="36" t="n">
        <x:v>1</x:v>
      </x:c>
      <x:c r="F11" s="36" t="n">
        <x:v>1</x:v>
      </x:c>
      <x:c r="G11" s="36" t="n">
        <x:f>E11*F11</x:f>
        <x:v>1</x:v>
      </x:c>
      <x:c r="H11" s="28" t="str">
        <x:v>発注済み</x:v>
      </x:c>
    </x:row>
    <x:row r="12" ht="24" customHeight="1">
      <x:c r="A12" s="28" t="str">
        <x:v>抵抗</x:v>
      </x:c>
      <x:c r="B12" s="28" t="str">
        <x:v>1k 1% 0603</x:v>
      </x:c>
      <x:c r="C12" s="28" t="str">
        <x:v>RC0603FR-071KL</x:v>
      </x:c>
      <x:c r="D12" s="28" t="str">
        <x:v>ODOM:R19-R22</x:v>
      </x:c>
      <x:c r="E12" s="36" t="n">
        <x:v>4</x:v>
      </x:c>
      <x:c r="F12" s="36" t="n">
        <x:v>1</x:v>
      </x:c>
      <x:c r="G12" s="36" t="n">
        <x:f>E12*F12</x:f>
        <x:v>4</x:v>
      </x:c>
      <x:c r="H12" s="28" t="str">
        <x:v>発注済み</x:v>
      </x:c>
    </x:row>
    <x:row r="13" ht="24" customHeight="1">
      <x:c r="A13" s="28" t="str">
        <x:v>抵抗</x:v>
      </x:c>
      <x:c r="B13" s="28" t="str">
        <x:v>100R 1% 0603</x:v>
      </x:c>
      <x:c r="C13" s="28" t="str">
        <x:v>RC0603FR-07100RL</x:v>
      </x:c>
      <x:c r="D13" s="28" t="str">
        <x:v>ODOM:R2,R5-R9</x:v>
      </x:c>
      <x:c r="E13" s="36" t="n">
        <x:v>6</x:v>
      </x:c>
      <x:c r="F13" s="36" t="n">
        <x:v>1</x:v>
      </x:c>
      <x:c r="G13" s="36" t="n">
        <x:f>E13*F13</x:f>
        <x:v>6</x:v>
      </x:c>
      <x:c r="H13" s="28" t="str">
        <x:v>発注済み</x:v>
      </x:c>
    </x:row>
    <x:row r="14" ht="24" customHeight="1">
      <x:c r="A14" s="28" t="str">
        <x:v>フィルタ</x:v>
      </x:c>
      <x:c r="B14" s="28" t="str">
        <x:v>フェライト 600R@100MHz 0603</x:v>
      </x:c>
      <x:c r="C14" s="28" t="str">
        <x:v>BLM18AG601SN1D</x:v>
      </x:c>
      <x:c r="D14" s="28" t="str">
        <x:v>ODOM:FB1</x:v>
      </x:c>
      <x:c r="E14" s="36" t="n">
        <x:v>1</x:v>
      </x:c>
      <x:c r="F14" s="36" t="n">
        <x:v>1</x:v>
      </x:c>
      <x:c r="G14" s="36" t="n">
        <x:f>E14*F14</x:f>
        <x:v>1</x:v>
      </x:c>
      <x:c r="H14" s="28" t="str">
        <x:v>発注済み</x:v>
      </x:c>
    </x:row>
    <x:row r="15" ht="24" customHeight="1">
      <x:c r="A15" s="28" t="str">
        <x:v>保護</x:v>
      </x:c>
      <x:c r="B15" s="28" t="str">
        <x:v>CAN ESD SOT-23</x:v>
      </x:c>
      <x:c r="C15" s="28" t="str">
        <x:v>ESD2CAN24DBZRQ1</x:v>
      </x:c>
      <x:c r="D15" s="28" t="str">
        <x:v>ODOM:D1</x:v>
      </x:c>
      <x:c r="E15" s="36" t="n">
        <x:v>1</x:v>
      </x:c>
      <x:c r="F15" s="36" t="n">
        <x:v>1</x:v>
      </x:c>
      <x:c r="G15" s="36" t="n">
        <x:f>E15*F15</x:f>
        <x:v>1</x:v>
      </x:c>
      <x:c r="H15" s="28" t="str">
        <x:v>発注済み</x:v>
      </x:c>
    </x:row>
    <x:row r="16" ht="24" customHeight="1">
      <x:c r="A16" s="28" t="str">
        <x:v>保護</x:v>
      </x:c>
      <x:c r="B16" s="28" t="str">
        <x:v>2ch ESD 5.5V SOT-23</x:v>
      </x:c>
      <x:c r="C16" s="28" t="str">
        <x:v>ESDS452DBZR</x:v>
      </x:c>
      <x:c r="D16" s="28" t="str">
        <x:v>ODOM:D2-D4</x:v>
      </x:c>
      <x:c r="E16" s="36" t="n">
        <x:v>3</x:v>
      </x:c>
      <x:c r="F16" s="36" t="n">
        <x:v>1</x:v>
      </x:c>
      <x:c r="G16" s="36" t="n">
        <x:f>E16*F16</x:f>
        <x:v>3</x:v>
      </x:c>
      <x:c r="H16" s="28" t="str">
        <x:v>発注済み</x:v>
      </x:c>
    </x:row>
    <x:row r="17" ht="24" customHeight="1">
      <x:c r="A17" s="28" t="str">
        <x:v>LED</x:v>
      </x:c>
      <x:c r="B17" s="28" t="str">
        <x:v>緑 LED 0603</x:v>
      </x:c>
      <x:c r="C17" s="28" t="str">
        <x:v>LTST-C190KGKT</x:v>
      </x:c>
      <x:c r="D17" s="28" t="str">
        <x:v>ODOM:D6,D8</x:v>
      </x:c>
      <x:c r="E17" s="36" t="n">
        <x:v>2</x:v>
      </x:c>
      <x:c r="F17" s="36" t="n">
        <x:v>1</x:v>
      </x:c>
      <x:c r="G17" s="36" t="n">
        <x:f>E17*F17</x:f>
        <x:v>2</x:v>
      </x:c>
      <x:c r="H17" s="28" t="str">
        <x:v>発注済み</x:v>
      </x:c>
    </x:row>
    <x:row r="18" ht="24" customHeight="1">
      <x:c r="A18" s="28" t="str">
        <x:v>LED</x:v>
      </x:c>
      <x:c r="B18" s="28" t="str">
        <x:v>黄 LED 0603</x:v>
      </x:c>
      <x:c r="C18" s="28" t="str">
        <x:v>LTST-C190KSKT</x:v>
      </x:c>
      <x:c r="D18" s="28" t="str">
        <x:v>ODOM:D9</x:v>
      </x:c>
      <x:c r="E18" s="36" t="n">
        <x:v>1</x:v>
      </x:c>
      <x:c r="F18" s="36" t="n">
        <x:v>1</x:v>
      </x:c>
      <x:c r="G18" s="36" t="n">
        <x:f>E18*F18</x:f>
        <x:v>1</x:v>
      </x:c>
      <x:c r="H18" s="28" t="str">
        <x:v>発注済み</x:v>
      </x:c>
    </x:row>
    <x:row r="19" ht="24" customHeight="1">
      <x:c r="A19" s="28" t="str">
        <x:v>LED</x:v>
      </x:c>
      <x:c r="B19" s="28" t="str">
        <x:v>赤 LED 0603</x:v>
      </x:c>
      <x:c r="C19" s="28" t="str">
        <x:v>LTST-C190KRKT</x:v>
      </x:c>
      <x:c r="D19" s="28" t="str">
        <x:v>ODOM:D10</x:v>
      </x:c>
      <x:c r="E19" s="36" t="n">
        <x:v>1</x:v>
      </x:c>
      <x:c r="F19" s="36" t="n">
        <x:v>1</x:v>
      </x:c>
      <x:c r="G19" s="36" t="n">
        <x:f>E19*F19</x:f>
        <x:v>1</x:v>
      </x:c>
      <x:c r="H19" s="28" t="str">
        <x:v>発注済み</x:v>
      </x:c>
    </x:row>
    <x:row r="20" ht="24" customHeight="1">
      <x:c r="A20" s="28" t="str">
        <x:v>コネクタ</x:v>
      </x:c>
      <x:c r="B20" s="28" t="str">
        <x:v>JST GH 2極 横向き</x:v>
      </x:c>
      <x:c r="C20" s="28" t="str">
        <x:v>SM02B-GHS-TB</x:v>
      </x:c>
      <x:c r="D20" s="28" t="str">
        <x:v>ODOM:J1</x:v>
      </x:c>
      <x:c r="E20" s="36" t="n">
        <x:v>1</x:v>
      </x:c>
      <x:c r="F20" s="36" t="n">
        <x:v>1</x:v>
      </x:c>
      <x:c r="G20" s="36" t="n">
        <x:f>E20*F20</x:f>
        <x:v>1</x:v>
      </x:c>
      <x:c r="H20" s="28" t="str">
        <x:v>発注済み</x:v>
      </x:c>
    </x:row>
    <x:row r="21" ht="24" customHeight="1">
      <x:c r="A21" s="28" t="str">
        <x:v>コネクタ</x:v>
      </x:c>
      <x:c r="B21" s="28" t="str">
        <x:v>JST GH 3極 横向き</x:v>
      </x:c>
      <x:c r="C21" s="28" t="str">
        <x:v>SM03B-GHS-TB</x:v>
      </x:c>
      <x:c r="D21" s="28" t="str">
        <x:v>ODOM:J2</x:v>
      </x:c>
      <x:c r="E21" s="36" t="n">
        <x:v>1</x:v>
      </x:c>
      <x:c r="F21" s="36" t="n">
        <x:v>1</x:v>
      </x:c>
      <x:c r="G21" s="36" t="n">
        <x:f>E21*F21</x:f>
        <x:v>1</x:v>
      </x:c>
      <x:c r="H21" s="28" t="str">
        <x:v>発注済み</x:v>
      </x:c>
    </x:row>
    <x:row r="22" ht="24" customHeight="1">
      <x:c r="A22" s="28" t="str">
        <x:v>コネクタ</x:v>
      </x:c>
      <x:c r="B22" s="28" t="str">
        <x:v>JST GH 6極 垂直</x:v>
      </x:c>
      <x:c r="C22" s="28" t="str">
        <x:v>BM06B-GHS-TBT</x:v>
      </x:c>
      <x:c r="D22" s="28" t="str">
        <x:v>ODOM:J8</x:v>
      </x:c>
      <x:c r="E22" s="36" t="n">
        <x:v>1</x:v>
      </x:c>
      <x:c r="F22" s="36" t="n">
        <x:v>1</x:v>
      </x:c>
      <x:c r="G22" s="36" t="n">
        <x:f>E22*F22</x:f>
        <x:v>1</x:v>
      </x:c>
      <x:c r="H22" s="28" t="str">
        <x:v>発注済み</x:v>
      </x:c>
    </x:row>
    <x:row r="23" ht="24" customHeight="1">
      <x:c r="A23" s="28" t="str">
        <x:v>コネクタ</x:v>
      </x:c>
      <x:c r="B23" s="28" t="str">
        <x:v>JST XH 4極 垂直</x:v>
      </x:c>
      <x:c r="C23" s="28" t="str">
        <x:v>B4B-XH-AM</x:v>
      </x:c>
      <x:c r="D23" s="28" t="str">
        <x:v>ODOM:J4-J6</x:v>
      </x:c>
      <x:c r="E23" s="36" t="n">
        <x:v>3</x:v>
      </x:c>
      <x:c r="F23" s="36" t="n">
        <x:v>1</x:v>
      </x:c>
      <x:c r="G23" s="36" t="n">
        <x:f>E23*F23</x:f>
        <x:v>3</x:v>
      </x:c>
      <x:c r="H23" s="28" t="str">
        <x:v>発注済み</x:v>
      </x:c>
    </x:row>
    <x:row r="24" ht="24" customHeight="1">
      <x:c r="A24" s="28" t="str">
        <x:v>コネクタ</x:v>
      </x:c>
      <x:c r="B24" s="28" t="str">
        <x:v>JST XH 8極 垂直</x:v>
      </x:c>
      <x:c r="C24" s="28" t="str">
        <x:v>B8B-XH-AM</x:v>
      </x:c>
      <x:c r="D24" s="28" t="str">
        <x:v>ODOM:J7</x:v>
      </x:c>
      <x:c r="E24" s="36" t="n">
        <x:v>1</x:v>
      </x:c>
      <x:c r="F24" s="36" t="n">
        <x:v>1</x:v>
      </x:c>
      <x:c r="G24" s="36" t="n">
        <x:f>E24*F24</x:f>
        <x:v>1</x:v>
      </x:c>
      <x:c r="H24" s="28" t="str">
        <x:v>発注済み</x:v>
      </x:c>
    </x:row>
    <x:row r="25" ht="24" customHeight="1">
      <x:c r="A25" s="28" t="str">
        <x:v>スイッチ</x:v>
      </x:c>
      <x:c r="B25" s="28" t="str">
        <x:v>SPDT スライドスイッチ</x:v>
      </x:c>
      <x:c r="C25" s="28" t="str">
        <x:v>JS102011SAQN</x:v>
      </x:c>
      <x:c r="D25" s="28" t="str">
        <x:v>ODOM:SW1</x:v>
      </x:c>
      <x:c r="E25" s="36" t="n">
        <x:v>1</x:v>
      </x:c>
      <x:c r="F25" s="36" t="n">
        <x:v>1</x:v>
      </x:c>
      <x:c r="G25" s="36" t="n">
        <x:f>E25*F25</x:f>
        <x:v>1</x:v>
      </x:c>
      <x:c r="H25" s="28" t="str">
        <x:v>発注済み</x:v>
      </x:c>
    </x:row>
    <x:row r="26" ht="24" customHeight="1">
      <x:c r="A26" s="28" t="str">
        <x:v>スイッチ</x:v>
      </x:c>
      <x:c r="B26" s="28" t="str">
        <x:v>3極 DIPスイッチ SMD</x:v>
      </x:c>
      <x:c r="C26" s="28" t="str">
        <x:v>DS04-254-1-03BK-SMT</x:v>
      </x:c>
      <x:c r="D26" s="28" t="str">
        <x:v>ODOM:SW3</x:v>
      </x:c>
      <x:c r="E26" s="36" t="n">
        <x:v>1</x:v>
      </x:c>
      <x:c r="F26" s="36" t="n">
        <x:v>1</x:v>
      </x:c>
      <x:c r="G26" s="36" t="n">
        <x:f>E26*F26</x:f>
        <x:v>1</x:v>
      </x:c>
      <x:c r="H26" s="28" t="str">
        <x:v>発注済み</x:v>
      </x:c>
    </x:row>
    <x:row r="27" ht="24" customHeight="1">
      <x:c r="A27" s="28" t="str">
        <x:v>電源IC</x:v>
      </x:c>
      <x:c r="B27" s="28" t="str">
        <x:v>Ideal diode 1.5A SC-70-6</x:v>
      </x:c>
      <x:c r="C27" s="28" t="str">
        <x:v>LM66100DCKT</x:v>
      </x:c>
      <x:c r="D27" s="28" t="str">
        <x:v>ODOM:U5</x:v>
      </x:c>
      <x:c r="E27" s="36" t="n">
        <x:v>1</x:v>
      </x:c>
      <x:c r="F27" s="36" t="n">
        <x:v>1</x:v>
      </x:c>
      <x:c r="G27" s="36" t="n">
        <x:f>E27*F27</x:f>
        <x:v>1</x:v>
      </x:c>
      <x:c r="H27" s="28" t="str">
        <x:v>発注済み</x:v>
      </x:c>
    </x:row>
    <x:row r="28" ht="24" customHeight="1">
      <x:c r="A28" s="28" t="str">
        <x:v>電源IC</x:v>
      </x:c>
      <x:c r="B28" s="28" t="str">
        <x:v>3.3V LDO SOT-223</x:v>
      </x:c>
      <x:c r="C28" s="28" t="str">
        <x:v>TLV76133DCYR</x:v>
      </x:c>
      <x:c r="D28" s="28" t="str">
        <x:v>ODOM:U2</x:v>
      </x:c>
      <x:c r="E28" s="36" t="n">
        <x:v>1</x:v>
      </x:c>
      <x:c r="F28" s="36" t="n">
        <x:v>1</x:v>
      </x:c>
      <x:c r="G28" s="36" t="n">
        <x:f>E28*F28</x:f>
        <x:v>1</x:v>
      </x:c>
      <x:c r="H28" s="28" t="str">
        <x:v>発注済み</x:v>
      </x:c>
    </x:row>
    <x:row r="29" ht="24" customHeight="1">
      <x:c r="A29" s="28" t="str">
        <x:v>通信IC</x:v>
      </x:c>
      <x:c r="B29" s="28" t="str">
        <x:v>CAN transceiver with VIO</x:v>
      </x:c>
      <x:c r="C29" s="28" t="str">
        <x:v>TCAN1051VDRQ1</x:v>
      </x:c>
      <x:c r="D29" s="28" t="str">
        <x:v>ODOM:U4</x:v>
      </x:c>
      <x:c r="E29" s="36" t="n">
        <x:v>1</x:v>
      </x:c>
      <x:c r="F29" s="36" t="n">
        <x:v>1</x:v>
      </x:c>
      <x:c r="G29" s="36" t="n">
        <x:f>E29*F29</x:f>
        <x:v>1</x:v>
      </x:c>
      <x:c r="H29" s="28" t="str">
        <x:v>発注済み</x:v>
      </x:c>
    </x:row>
    <x:row r="30" ht="24" customHeight="1">
      <x:c r="A30" s="28" t="str">
        <x:v>ロジックIC</x:v>
      </x:c>
      <x:c r="B30" s="28" t="str">
        <x:v>Dual Schmitt buffer SOT-23-6</x:v>
      </x:c>
      <x:c r="C30" s="28" t="str">
        <x:v>SN74LVC2G17DBVT</x:v>
      </x:c>
      <x:c r="D30" s="28" t="str">
        <x:v>ODOM:U3,U7,U9</x:v>
      </x:c>
      <x:c r="E30" s="36" t="n">
        <x:v>3</x:v>
      </x:c>
      <x:c r="F30" s="36" t="n">
        <x:v>1</x:v>
      </x:c>
      <x:c r="G30" s="36" t="n">
        <x:f>E30*F30</x:f>
        <x:v>3</x:v>
      </x:c>
      <x:c r="H30" s="28" t="str">
        <x:v>発注済み</x:v>
      </x:c>
    </x:row>
    <x:row r="31" ht="24" customHeight="1">
      <x:c r="A31" s="28" t="str">
        <x:v>水晶</x:v>
      </x:c>
      <x:c r="B31" s="28" t="str">
        <x:v>8MHz 8pF 500R 3225-4pad</x:v>
      </x:c>
      <x:c r="C31" s="28" t="str">
        <x:v>FC3BAEBDI8.0-T1</x:v>
      </x:c>
      <x:c r="D31" s="28" t="str">
        <x:v>ODOM:Y1</x:v>
      </x:c>
      <x:c r="E31" s="36" t="n">
        <x:v>1</x:v>
      </x:c>
      <x:c r="F31" s="36" t="n">
        <x:v>1</x:v>
      </x:c>
      <x:c r="G31" s="36" t="n">
        <x:f>E31*F31</x:f>
        <x:v>1</x:v>
      </x:c>
      <x:c r="H31" s="28" t="str">
        <x:v>発注済み</x:v>
      </x:c>
    </x:row>
    <x:row r="32" ht="24" customHeight="1">
      <x:c r="A32" s="28" t="str">
        <x:v>手持ち</x:v>
      </x:c>
      <x:c r="B32" s="28" t="str">
        <x:v>Odometry MCU LQFP64</x:v>
      </x:c>
      <x:c r="C32" s="28" t="str">
        <x:v>STM32F405RGT6</x:v>
      </x:c>
      <x:c r="D32" s="28" t="str">
        <x:v>ODOM:U1</x:v>
      </x:c>
      <x:c r="E32" s="36" t="n">
        <x:v>1</x:v>
      </x:c>
      <x:c r="F32" s="36" t="n">
        <x:v>1</x:v>
      </x:c>
      <x:c r="G32" s="36" t="n">
        <x:f>E32*F32</x:f>
        <x:v>1</x:v>
      </x:c>
      <x:c r="H32" s="28" t="str">
        <x:v>発注済み</x:v>
      </x:c>
    </x:row>
    <x:row r="33" ht="24" customHeight="1">
      <x:c r="A33" s="28" t="str">
        <x:v>手持ち</x:v>
      </x:c>
      <x:c r="B33" s="28" t="str">
        <x:v>IMU 8pin breakout</x:v>
      </x:c>
      <x:c r="C33" s="28" t="str">
        <x:v>ICM-42688-P breakout</x:v>
      </x:c>
      <x:c r="D33" s="28" t="str">
        <x:v>ODOM:J7接続</x:v>
      </x:c>
      <x:c r="E33" s="36" t="n">
        <x:v>1</x:v>
      </x:c>
      <x:c r="F33" s="36" t="n">
        <x:v>1</x:v>
      </x:c>
      <x:c r="G33" s="36" t="n">
        <x:f>E33*F33</x:f>
        <x:v>1</x:v>
      </x:c>
      <x:c r="H33" s="28" t="str">
        <x:v>発注済み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26" hidden="0" customWidth="1"/>
    <x:col min="3" max="3" width="52" hidden="0" customWidth="1"/>
    <x:col min="4" max="4" width="46" hidden="0" customWidth="1"/>
  </x:cols>
  <x:sheetData>
    <x:row r="1" ht="30" customHeight="1">
      <x:c r="A1" s="3" t="str">
        <x:v>数量判断・置換・組立時の注意</x:v>
      </x:c>
      <x:c r="B1" s="2"/>
      <x:c r="C1" s="2"/>
      <x:c r="D1" s="2"/>
    </x:row>
    <x:row r="3">
      <x:c r="A3" s="12" t="str">
        <x:v>項目</x:v>
      </x:c>
      <x:c r="B3" s="12" t="str">
        <x:v>判断</x:v>
      </x:c>
      <x:c r="C3" s="12" t="str">
        <x:v>理由</x:v>
      </x:c>
      <x:c r="D3" s="12" t="str">
        <x:v>次の確認</x:v>
      </x:c>
    </x:row>
    <x:row r="4" ht="34" customHeight="1">
      <x:c r="A4" s="45" t="str">
        <x:v>基板枚数</x:v>
      </x:c>
      <x:c r="B4" s="45" t="str">
        <x:v>今回発注は駆動4枚のみ</x:v>
      </x:c>
      <x:c r="C4" s="45" t="str">
        <x:v>駆動は3ユニット実装＋基板単位の完全予備1枚。ODOMは発注済み</x:v>
      </x:c>
      <x:c r="D4" s="45" t="str">
        <x:v>枚数を変える場合は今回発注BOMのF列と発注数を再調整</x:v>
      </x:c>
    </x:row>
    <x:row r="5" ht="34" customHeight="1">
      <x:c r="A5" s="45" t="str">
        <x:v>受動部品</x:v>
      </x:c>
      <x:c r="B5" s="45" t="str">
        <x:v>必要数＋2〜6個、安価品は価格境界まで</x:v>
      </x:c>
      <x:c r="C5" s="45" t="str">
        <x:v>紛失・はんだ不良・再作業を吸収</x:v>
      </x:c>
      <x:c r="D5" s="45" t="str">
        <x:v>0603は向き/定数を仕分けしてから実装</x:v>
      </x:c>
    </x:row>
    <x:row r="6" ht="34" customHeight="1">
      <x:c r="A6" s="45" t="str">
        <x:v>高価なIC/スイッチ</x:v>
      </x:c>
      <x:c r="B6" s="45" t="str">
        <x:v>基本は必要数＋1個</x:v>
      </x:c>
      <x:c r="C6" s="45" t="str">
        <x:v>死蔵を避けながら初期不良と実装ミスを1回吸収</x:v>
      </x:c>
      <x:c r="D6" s="45" t="str">
        <x:v>開封時にロットと向きを確認</x:v>
      </x:c>
    </x:row>
    <x:row r="7" ht="34" customHeight="1">
      <x:c r="A7" s="45" t="str">
        <x:v>LM66100DCKT</x:v>
      </x:c>
      <x:c r="B7" s="45" t="str">
        <x:v>採用</x:v>
      </x:c>
      <x:c r="C7" s="45" t="str">
        <x:v>DCKRとDCKTは同じLM66100・SC-70-6で梱包数量だけ違う</x:v>
      </x:c>
      <x:c r="D7" s="45" t="str">
        <x:v>DigiKeyカットテープ品番を使用</x:v>
      </x:c>
    </x:row>
    <x:row r="8" ht="34" customHeight="1">
      <x:c r="A8" s="45" t="str">
        <x:v>SN74LVC2G17DBVT</x:v>
      </x:c>
      <x:c r="B8" s="45" t="str">
        <x:v>採用</x:v>
      </x:c>
      <x:c r="C8" s="45" t="str">
        <x:v>DBVRとDBVTは同じTI品・SOT-23-6で梱包数量だけ違う</x:v>
      </x:c>
      <x:c r="D8" s="45" t="str">
        <x:v>1番ピンを確認</x:v>
      </x:c>
    </x:row>
    <x:row r="9" ht="34" customHeight="1">
      <x:c r="A9" s="45" t="str">
        <x:v>FC3BAEBDI8.0-T1</x:v>
      </x:c>
      <x:c r="B9" s="45" t="str">
        <x:v>採用</x:v>
      </x:c>
      <x:c r="C9" s="45" t="str">
        <x:v>元ECS品欠品。8MHz、CL=8pF、ESR=500R、3225 4padが一致</x:v>
      </x:c>
      <x:c r="D9" s="45" t="str">
        <x:v>初号機で発振開始と周波数を確認</x:v>
      </x:c>
    </x:row>
    <x:row r="10" ht="34" customHeight="1">
      <x:c r="A10" s="45" t="str">
        <x:v>BAT54S-HF (Comchip)</x:v>
      </x:c>
      <x:c r="B10" s="45" t="str">
        <x:v>採用</x:v>
      </x:c>
      <x:c r="C10" s="45" t="str">
        <x:v>onsemi/Diotec品欠品。直列2ダイオード、30V、200mA、SOT-23、同一ピン構成</x:v>
      </x:c>
      <x:c r="D10" s="45" t="str">
        <x:v>初号機でD7向きとクランプ動作を確認</x:v>
      </x:c>
    </x:row>
    <x:row r="11" ht="34" customHeight="1">
      <x:c r="A11" s="45" t="str">
        <x:v>TLV76133DCYR</x:v>
      </x:c>
      <x:c r="B11" s="45" t="str">
        <x:v>採用</x:v>
      </x:c>
      <x:c r="C11" s="45" t="str">
        <x:v>TLV1117LV33DCYR生産中止。SOT-223同一ピン配置、1A、セラミック出力コンデンサ対応</x:v>
      </x:c>
      <x:c r="D11" s="45" t="str">
        <x:v>初号機で3.3V、温度、負荷変動を確認</x:v>
      </x:c>
    </x:row>
    <x:row r="12" ht="34" customHeight="1">
      <x:c r="A12" s="45" t="str">
        <x:v>DS04-254-1-03BK-SMT</x:v>
      </x:c>
      <x:c r="B12" s="45" t="str">
        <x:v>採用</x:v>
      </x:c>
      <x:c r="C12" s="45" t="str">
        <x:v>A6S-3104-H在庫0。推奨ランドの列間8.9mm・縦pitch 2.54mm・pad 1.5x1.1mmが既存KiCad footprintと一致</x:v>
      </x:c>
      <x:c r="D12" s="45" t="str">
        <x:v>シルクはA6S名称のままだが実装ランドは一致。ON方向を実装前に確認</x:v>
      </x:c>
    </x:row>
    <x:row r="13" ht="34" customHeight="1">
      <x:c r="A13" s="45" t="str">
        <x:v>SM03B-GHS-TB</x:v>
      </x:c>
      <x:c r="B13" s="45" t="str">
        <x:v>繰越注文</x:v>
      </x:c>
      <x:c r="C13" s="45" t="str">
        <x:v>確認時DigiKey在庫0。形状違いの代替は基板に合わないため未採用</x:v>
      </x:c>
      <x:c r="D13" s="45" t="str">
        <x:v>発注前にカート納期確認。急ぐ場合は別在庫元を探す</x:v>
      </x:c>
    </x:row>
    <x:row r="14" ht="34" customHeight="1">
      <x:c r="A14" s="45" t="str">
        <x:v>ODOM DNP</x:v>
      </x:c>
      <x:c r="B14" s="45" t="str">
        <x:v>C15,C17,C23-C26は購入・実装しない</x:v>
      </x:c>
      <x:c r="C14" s="45" t="str">
        <x:v>KiCad回路図でDNP指定</x:v>
      </x:c>
      <x:c r="D14" s="45" t="str">
        <x:v>組立指示にもDNPを残す</x:v>
      </x:c>
    </x:row>
    <x:row r="15" ht="34" customHeight="1">
      <x:c r="A15" s="45" t="str">
        <x:v>発注対象外</x:v>
      </x:c>
      <x:c r="B15" s="45" t="str">
        <x:v>ODOM一式、STM32G474RET6×4、GH 2極横/6極横/6極垂直（必要数を満たす前提）</x:v>
      </x:c>
      <x:c r="C15" s="45" t="str">
        <x:v>発注済み/手持ちのためCSVから除外</x:v>
      </x:c>
      <x:c r="D15" s="45" t="str">
        <x:v>駆動用GHは必要数4/4/4個を満たすか現物確認</x:v>
      </x:c>
    </x:row>
    <x:row r="16" ht="34" customHeight="1">
      <x:c r="A16" s="45" t="str">
        <x:v>価格</x:v>
      </x:c>
      <x:c r="B16" s="45" t="str">
        <x:v>DigiKey Japan税抜JPY、2026-09-07時点</x:v>
      </x:c>
      <x:c r="C16" s="45" t="str">
        <x:v>価格と在庫は変動する</x:v>
      </x:c>
      <x:c r="D16" s="45" t="str">
        <x:v>カート取込後に最終総額を再確認</x:v>
      </x:c>
    </x:row>
    <x:row r="17" ht="34" customHeight="1">
      <x:c r="A17" s="45" t="str">
        <x:v>BOM範囲</x:v>
      </x:c>
      <x:c r="B17" s="45" t="str">
        <x:v>基板実装部品のみ</x:v>
      </x:c>
      <x:c r="C17" s="45" t="str">
        <x:v>GH/XH相手側ハウジング・圧着端子・ケーブル、PCB、ステンシル、はんだ材料は含めない</x:v>
      </x:c>
      <x:c r="D17" s="45" t="str">
        <x:v>ハーネス長と本数の確定後に別BOM化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4" ySplit="3" topLeftCell="E4" activePane="bottomRight" state="frozen"/>
    </x:sheetView>
  </x:sheetViews>
  <x:sheetFormatPr defaultRowHeight="15"/>
  <x:cols>
    <x:col min="1" max="1" width="12" hidden="0" customWidth="1"/>
    <x:col min="2" max="2" width="38" hidden="0" customWidth="1"/>
    <x:col min="3" max="3" width="29" hidden="0" customWidth="1"/>
    <x:col min="4" max="4" width="30" hidden="0" customWidth="1"/>
    <x:col min="5" max="5" width="9" hidden="0" customWidth="1"/>
    <x:col min="6" max="6" width="9" hidden="0" customWidth="1"/>
    <x:col min="7" max="7" width="9" hidden="0" customWidth="1"/>
    <x:col min="8" max="8" width="13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34" hidden="0" customWidth="1"/>
    <x:col min="16" max="16" width="20" hidden="0" customWidth="1"/>
    <x:col min="17" max="17" width="34" hidden="0" customWidth="1"/>
    <x:col min="18" max="18" width="18" hidden="0" customWidth="1"/>
    <x:col min="19" max="19" width="60" hidden="0" customWidth="1"/>
  </x:cols>
  <x:sheetData>
    <x:row r="1" ht="30" customHeight="1">
      <x:c r="A1" s="3" t="str">
        <x:v>在庫・数量価格・フットプリント監査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>
      <x:c r="A2" s="33" t="str">
        <x:v>今回発注は駆動基板4枚分のみ。ODOMは発注済み。DigiKey Japanの在庫・税抜JPYは2026-09-07確認。</x:v>
      </x:c>
    </x:row>
    <x:row r="3" ht="38" customHeight="1">
      <x:c r="A3" s="12" t="str">
        <x:v>分類</x:v>
      </x:c>
      <x:c r="B3" s="12" t="str">
        <x:v>使用箇所</x:v>
      </x:c>
      <x:c r="C3" s="12" t="str">
        <x:v>メーカー品番</x:v>
      </x:c>
      <x:c r="D3" s="12" t="str">
        <x:v>DigiKey品番</x:v>
      </x:c>
      <x:c r="E3" s="12" t="str">
        <x:v>今回必要数</x:v>
      </x:c>
      <x:c r="F3" s="12" t="str">
        <x:v>今回発注数</x:v>
      </x:c>
      <x:c r="G3" s="12" t="str">
        <x:v>駆動分余剰</x:v>
      </x:c>
      <x:c r="H3" s="12" t="str">
        <x:v>在庫数</x:v>
      </x:c>
      <x:c r="I3" s="12" t="str">
        <x:v>1個単価</x:v>
      </x:c>
      <x:c r="J3" s="12" t="str">
        <x:v>10個単価</x:v>
      </x:c>
      <x:c r="K3" s="12" t="str">
        <x:v>25個単価</x:v>
      </x:c>
      <x:c r="L3" s="12" t="str">
        <x:v>50個単価</x:v>
      </x:c>
      <x:c r="M3" s="12" t="str">
        <x:v>100個単価</x:v>
      </x:c>
      <x:c r="N3" s="12" t="str">
        <x:v>採用単価</x:v>
      </x:c>
      <x:c r="O3" s="12" t="str">
        <x:v>実装フットプリント</x:v>
      </x:c>
      <x:c r="P3" s="12" t="str">
        <x:v>Footprint照合</x:v>
      </x:c>
      <x:c r="Q3" s="12" t="str">
        <x:v>電気仕様照合</x:v>
      </x:c>
      <x:c r="R3" s="12" t="str">
        <x:v>選定結果</x:v>
      </x:c>
      <x:c r="S3" s="12" t="str">
        <x:v>根拠・注意 / 参照URL</x:v>
      </x:c>
    </x:row>
    <x:row r="4" ht="42" customHeight="1">
      <x:c r="A4" s="48" t="str">
        <x:v>コンデンサ</x:v>
      </x:c>
      <x:c r="B4" s="48" t="str">
        <x:v>UNIT:C1,C2,C5-C9,C13,C15,C17,C18,C201,C203 / ODOM:C2,C4,C8,C9,C11-C14,C18,C19,C22,C28</x:v>
      </x:c>
      <x:c r="C4" s="48" t="str">
        <x:v>C0603C104K5RACTU</x:v>
      </x:c>
      <x:c r="D4" s="48" t="str">
        <x:v>399-C0603C104K5RACTUCT-ND</x:v>
      </x:c>
      <x:c r="E4" s="49" t="n">
        <x:v>52</x:v>
      </x:c>
      <x:c r="F4" s="49" t="n">
        <x:v>60</x:v>
      </x:c>
      <x:c r="G4" s="49" t="n">
        <x:v>8</x:v>
      </x:c>
      <x:c r="H4" s="49" t="n">
        <x:v>7005521</x:v>
      </x:c>
      <x:c r="I4" s="50" t="n">
        <x:v>22</x:v>
      </x:c>
      <x:c r="J4" s="50" t="n">
        <x:v>11.6</x:v>
      </x:c>
      <x:c r="K4" s="50"/>
      <x:c r="L4" s="50" t="n">
        <x:v>7.96</x:v>
      </x:c>
      <x:c r="M4" s="50" t="n">
        <x:v>6.87</x:v>
      </x:c>
      <x:c r="N4" s="50" t="n">
        <x:v>7.96</x:v>
      </x:c>
      <x:c r="O4" s="48" t="str">
        <x:v>C_0603_1608Metric</x:v>
      </x:c>
      <x:c r="P4" s="48" t="str">
        <x:v>一致</x:v>
      </x:c>
      <x:c r="Q4" s="48" t="str">
        <x:v>100nF ±10%, 50V, X7R</x:v>
      </x:c>
      <x:c r="R4" s="48" t="str">
        <x:v>採用</x:v>
      </x:c>
      <x:c r="S4" s="48" t="str">
        <x:v>64個必要。100個価格で十分な実装予備を確保
https://www.digikey.jp/ja/products/detail/kemet/C0603C104K5RACTU/1465594</x:v>
      </x:c>
    </x:row>
    <x:row r="5" ht="42" customHeight="1">
      <x:c r="A5" s="45" t="str">
        <x:v>コンデンサ</x:v>
      </x:c>
      <x:c r="B5" s="45" t="str">
        <x:v>UNIT:C3,C4 / ODOM:C6,C7</x:v>
      </x:c>
      <x:c r="C5" s="45" t="str">
        <x:v>CL10C100JB8NNNC</x:v>
      </x:c>
      <x:c r="D5" s="45" t="str">
        <x:v>1276-1027-1-ND</x:v>
      </x:c>
      <x:c r="E5" s="46" t="n">
        <x:v>8</x:v>
      </x:c>
      <x:c r="F5" s="46" t="n">
        <x:v>10</x:v>
      </x:c>
      <x:c r="G5" s="46" t="n">
        <x:v>2</x:v>
      </x:c>
      <x:c r="H5" s="46" t="n">
        <x:v>321481</x:v>
      </x:c>
      <x:c r="I5" s="47" t="n">
        <x:v>17</x:v>
      </x:c>
      <x:c r="J5" s="47" t="n">
        <x:v>6.2</x:v>
      </x:c>
      <x:c r="K5" s="47"/>
      <x:c r="L5" s="47" t="n">
        <x:v>4.12</x:v>
      </x:c>
      <x:c r="M5" s="47" t="n">
        <x:v>3.53</x:v>
      </x:c>
      <x:c r="N5" s="47" t="n">
        <x:v>6.2</x:v>
      </x:c>
      <x:c r="O5" s="45" t="str">
        <x:v>C_0603_1608Metric</x:v>
      </x:c>
      <x:c r="P5" s="45" t="str">
        <x:v>一致</x:v>
      </x:c>
      <x:c r="Q5" s="45" t="str">
        <x:v>10pF ±5%, 50V, C0G/NP0</x:v>
      </x:c>
      <x:c r="R5" s="45" t="str">
        <x:v>採用</x:v>
      </x:c>
      <x:c r="S5" s="45" t="str">
        <x:v>HSE負荷容量。誘電体と容量を変更しない
https://www.digikey.jp/ja/products/detail/samsung-electro-mechanics/CL10C100JB8NNNC/3886685</x:v>
      </x:c>
    </x:row>
    <x:row r="6" ht="42" customHeight="1">
      <x:c r="A6" s="48" t="str">
        <x:v>コンデンサ</x:v>
      </x:c>
      <x:c r="B6" s="48" t="str">
        <x:v>UNIT:C10 / ODOM:C10</x:v>
      </x:c>
      <x:c r="C6" s="48" t="str">
        <x:v>GRM21BZ71E475KE15K</x:v>
      </x:c>
      <x:c r="D6" s="48" t="str">
        <x:v>490-GRM21BZ71E475KE15KCT-ND</x:v>
      </x:c>
      <x:c r="E6" s="49" t="n">
        <x:v>4</x:v>
      </x:c>
      <x:c r="F6" s="49" t="n">
        <x:v>5</x:v>
      </x:c>
      <x:c r="G6" s="49" t="n">
        <x:v>1</x:v>
      </x:c>
      <x:c r="H6" s="49" t="n">
        <x:v>10502</x:v>
      </x:c>
      <x:c r="I6" s="50" t="n">
        <x:v>48</x:v>
      </x:c>
      <x:c r="J6" s="50" t="n">
        <x:v>28.4</x:v>
      </x:c>
      <x:c r="K6" s="50"/>
      <x:c r="L6" s="50" t="n">
        <x:v>20.66</x:v>
      </x:c>
      <x:c r="M6" s="50" t="n">
        <x:v>18.23</x:v>
      </x:c>
      <x:c r="N6" s="50" t="n">
        <x:v>48</x:v>
      </x:c>
      <x:c r="O6" s="48" t="str">
        <x:v>C_0805_2012Metric</x:v>
      </x:c>
      <x:c r="P6" s="48" t="str">
        <x:v>一致</x:v>
      </x:c>
      <x:c r="Q6" s="48" t="str">
        <x:v>4.7uF ±10%, 25V, X7R</x:v>
      </x:c>
      <x:c r="R6" s="48" t="str">
        <x:v>採用</x:v>
      </x:c>
      <x:c r="S6" s="48" t="str">
        <x:v>6個より10個の総額が安い
https://www.digikey.jp/ja/products/detail/murata-electronics/GRM21BZ71E475KE15K/17860893</x:v>
      </x:c>
    </x:row>
    <x:row r="7" ht="42" customHeight="1">
      <x:c r="A7" s="51" t="str">
        <x:v>コンデンサ</x:v>
      </x:c>
      <x:c r="B7" s="51" t="str">
        <x:v>UNIT:C11,C14 / ODOM:C16</x:v>
      </x:c>
      <x:c r="C7" s="51" t="str">
        <x:v>C1608X7R1E105K080AB</x:v>
      </x:c>
      <x:c r="D7" s="51" t="str">
        <x:v>445-5956-1-ND</x:v>
      </x:c>
      <x:c r="E7" s="52" t="n">
        <x:v>8</x:v>
      </x:c>
      <x:c r="F7" s="52" t="n">
        <x:v>10</x:v>
      </x:c>
      <x:c r="G7" s="52" t="n">
        <x:v>2</x:v>
      </x:c>
      <x:c r="H7" s="52" t="n">
        <x:v>259236</x:v>
      </x:c>
      <x:c r="I7" s="53" t="n">
        <x:v>32</x:v>
      </x:c>
      <x:c r="J7" s="53" t="n">
        <x:v>17.8</x:v>
      </x:c>
      <x:c r="K7" s="53"/>
      <x:c r="L7" s="53" t="n">
        <x:v>12.58</x:v>
      </x:c>
      <x:c r="M7" s="53" t="n">
        <x:v>10.98</x:v>
      </x:c>
      <x:c r="N7" s="53" t="n">
        <x:v>17.8</x:v>
      </x:c>
      <x:c r="O7" s="51" t="str">
        <x:v>C_0603_1608Metric</x:v>
      </x:c>
      <x:c r="P7" s="51" t="str">
        <x:v>一致</x:v>
      </x:c>
      <x:c r="Q7" s="51" t="str">
        <x:v>1uF ±10%, 25V, X7R</x:v>
      </x:c>
      <x:c r="R7" s="51" t="str">
        <x:v>採用（置換）</x:v>
      </x:c>
      <x:c r="S7" s="51" t="str">
        <x:v>TMK107B7105KA-T在庫0。容量・誘電体・電圧・外形一致
https://www.digikey.jp/ja/products/detail/tdk/C1608X7R1E105K080AB/2443997</x:v>
      </x:c>
    </x:row>
    <x:row r="8" ht="42" customHeight="1">
      <x:c r="A8" s="51" t="str">
        <x:v>コンデンサ</x:v>
      </x:c>
      <x:c r="B8" s="51" t="str">
        <x:v>UNIT:C12</x:v>
      </x:c>
      <x:c r="C8" s="51" t="str">
        <x:v>C1608C0G1H103J080AA</x:v>
      </x:c>
      <x:c r="D8" s="51" t="str">
        <x:v>445-7404-1-ND</x:v>
      </x:c>
      <x:c r="E8" s="52" t="n">
        <x:v>4</x:v>
      </x:c>
      <x:c r="F8" s="52" t="n">
        <x:v>10</x:v>
      </x:c>
      <x:c r="G8" s="52" t="n">
        <x:v>6</x:v>
      </x:c>
      <x:c r="H8" s="52" t="n">
        <x:v>95498</x:v>
      </x:c>
      <x:c r="I8" s="53" t="n">
        <x:v>38</x:v>
      </x:c>
      <x:c r="J8" s="53" t="n">
        <x:v>22.3</x:v>
      </x:c>
      <x:c r="K8" s="53"/>
      <x:c r="L8" s="53" t="n">
        <x:v>16.08</x:v>
      </x:c>
      <x:c r="M8" s="53" t="n">
        <x:v>14.13</x:v>
      </x:c>
      <x:c r="N8" s="53" t="n">
        <x:v>22.3</x:v>
      </x:c>
      <x:c r="O8" s="51" t="str">
        <x:v>C_0603_1608Metric</x:v>
      </x:c>
      <x:c r="P8" s="51" t="str">
        <x:v>一致</x:v>
      </x:c>
      <x:c r="Q8" s="51" t="str">
        <x:v>10nF ±5%, 50V, C0G/NP0</x:v>
      </x:c>
      <x:c r="R8" s="51" t="str">
        <x:v>採用（置換）</x:v>
      </x:c>
      <x:c r="S8" s="51" t="str">
        <x:v>仕様を維持し、DigiKey在庫と数量価格を確認できる品へ変更
https://www.digikey.jp/ja/products/detail/tdk-corporation/C1608C0G1H103J080AA/2732839</x:v>
      </x:c>
    </x:row>
    <x:row r="9" ht="42" customHeight="1">
      <x:c r="A9" s="45" t="str">
        <x:v>コンデンサ</x:v>
      </x:c>
      <x:c r="B9" s="45" t="str">
        <x:v>UNIT:C16</x:v>
      </x:c>
      <x:c r="C9" s="45" t="str">
        <x:v>GRM188R72A103KA01D</x:v>
      </x:c>
      <x:c r="D9" s="45" t="str">
        <x:v>490-GRM188R72A103KA01DCT-ND</x:v>
      </x:c>
      <x:c r="E9" s="46" t="n">
        <x:v>4</x:v>
      </x:c>
      <x:c r="F9" s="46" t="n">
        <x:v>10</x:v>
      </x:c>
      <x:c r="G9" s="46" t="n">
        <x:v>6</x:v>
      </x:c>
      <x:c r="H9" s="46" t="n">
        <x:v>419642</x:v>
      </x:c>
      <x:c r="I9" s="47" t="n">
        <x:v>17</x:v>
      </x:c>
      <x:c r="J9" s="47" t="n">
        <x:v>5.8</x:v>
      </x:c>
      <x:c r="K9" s="47"/>
      <x:c r="L9" s="47" t="n">
        <x:v>3.86</x:v>
      </x:c>
      <x:c r="M9" s="47" t="n">
        <x:v>3.29</x:v>
      </x:c>
      <x:c r="N9" s="47" t="n">
        <x:v>5.8</x:v>
      </x:c>
      <x:c r="O9" s="45" t="str">
        <x:v>C_0603_1608Metric</x:v>
      </x:c>
      <x:c r="P9" s="45" t="str">
        <x:v>一致</x:v>
      </x:c>
      <x:c r="Q9" s="45" t="str">
        <x:v>10nF ±10%, 100V, X7R</x:v>
      </x:c>
      <x:c r="R9" s="45" t="str">
        <x:v>採用</x:v>
      </x:c>
      <x:c r="S9" s="45" t="str">
        <x:v>6個より10個の総額が安い
https://www.digikey.jp/ja/products/detail/murata-electronics/GRM188R72A103KA01D/3845635</x:v>
      </x:c>
    </x:row>
    <x:row r="10" ht="42" customHeight="1">
      <x:c r="A10" s="48" t="str">
        <x:v>コンデンサ</x:v>
      </x:c>
      <x:c r="B10" s="48" t="str">
        <x:v>UNIT:C101 / ODOM:C1,C20,C21,C27</x:v>
      </x:c>
      <x:c r="C10" s="48" t="str">
        <x:v>GCM21BR71E225KA73L</x:v>
      </x:c>
      <x:c r="D10" s="48" t="str">
        <x:v>490-4787-1-ND</x:v>
      </x:c>
      <x:c r="E10" s="49" t="n">
        <x:v>4</x:v>
      </x:c>
      <x:c r="F10" s="49" t="n">
        <x:v>5</x:v>
      </x:c>
      <x:c r="G10" s="49" t="n">
        <x:v>1</x:v>
      </x:c>
      <x:c r="H10" s="49" t="n">
        <x:v>252899</x:v>
      </x:c>
      <x:c r="I10" s="50" t="n">
        <x:v>73</x:v>
      </x:c>
      <x:c r="J10" s="50" t="n">
        <x:v>43.8</x:v>
      </x:c>
      <x:c r="K10" s="50"/>
      <x:c r="L10" s="50" t="n">
        <x:v>32.44</x:v>
      </x:c>
      <x:c r="M10" s="50" t="n">
        <x:v>28.93</x:v>
      </x:c>
      <x:c r="N10" s="50" t="n">
        <x:v>73</x:v>
      </x:c>
      <x:c r="O10" s="48" t="str">
        <x:v>C_0805_2012Metric</x:v>
      </x:c>
      <x:c r="P10" s="48" t="str">
        <x:v>一致</x:v>
      </x:c>
      <x:c r="Q10" s="48" t="str">
        <x:v>2.2uF ±10%, 25V, X7R</x:v>
      </x:c>
      <x:c r="R10" s="48" t="str">
        <x:v>採用</x:v>
      </x:c>
      <x:c r="S10" s="48" t="str">
        <x:v>F405 VCAPを含む。必要8個＋予備2個
https://www.digikey.jp/ja/products/detail/murata-electronics/GCM21BR71E225KA73L/1641661</x:v>
      </x:c>
    </x:row>
    <x:row r="11" ht="42" customHeight="1">
      <x:c r="A11" s="45" t="str">
        <x:v>コンデンサ</x:v>
      </x:c>
      <x:c r="B11" s="45" t="str">
        <x:v>UNIT:C202,C204 / ODOM:C3,C5</x:v>
      </x:c>
      <x:c r="C11" s="45" t="str">
        <x:v>C2012X7R1A106K125AC</x:v>
      </x:c>
      <x:c r="D11" s="45" t="str">
        <x:v>445-6857-1-ND</x:v>
      </x:c>
      <x:c r="E11" s="46" t="n">
        <x:v>8</x:v>
      </x:c>
      <x:c r="F11" s="46" t="n">
        <x:v>10</x:v>
      </x:c>
      <x:c r="G11" s="46" t="n">
        <x:v>2</x:v>
      </x:c>
      <x:c r="H11" s="46" t="n">
        <x:v>344771</x:v>
      </x:c>
      <x:c r="I11" s="47" t="n">
        <x:v>54</x:v>
      </x:c>
      <x:c r="J11" s="47" t="n">
        <x:v>32.3</x:v>
      </x:c>
      <x:c r="K11" s="47"/>
      <x:c r="L11" s="47" t="n">
        <x:v>23.52</x:v>
      </x:c>
      <x:c r="M11" s="47" t="n">
        <x:v>20.83</x:v>
      </x:c>
      <x:c r="N11" s="47" t="n">
        <x:v>32.3</x:v>
      </x:c>
      <x:c r="O11" s="45" t="str">
        <x:v>C_0805_2012Metric</x:v>
      </x:c>
      <x:c r="P11" s="45" t="str">
        <x:v>一致</x:v>
      </x:c>
      <x:c r="Q11" s="45" t="str">
        <x:v>10uF ±10%, 10V, X7R</x:v>
      </x:c>
      <x:c r="R11" s="45" t="str">
        <x:v>採用</x:v>
      </x:c>
      <x:c r="S11" s="45" t="str">
        <x:v>必要10個＋予備2個
https://www.digikey.jp/ja/products/detail/tdk/C2012X7R1A106K125AC/2619198</x:v>
      </x:c>
    </x:row>
    <x:row r="12" ht="42" customHeight="1">
      <x:c r="A12" s="48" t="str">
        <x:v>抵抗</x:v>
      </x:c>
      <x:c r="B12" s="48" t="str">
        <x:v>UNIT:R1 / ODOM:R1</x:v>
      </x:c>
      <x:c r="C12" s="48" t="str">
        <x:v>RC0603FR-07120RL</x:v>
      </x:c>
      <x:c r="D12" s="48" t="str">
        <x:v>311-120HRCT-ND</x:v>
      </x:c>
      <x:c r="E12" s="49" t="n">
        <x:v>4</x:v>
      </x:c>
      <x:c r="F12" s="49" t="n">
        <x:v>10</x:v>
      </x:c>
      <x:c r="G12" s="49" t="n">
        <x:v>6</x:v>
      </x:c>
      <x:c r="H12" s="49" t="n">
        <x:v>19927</x:v>
      </x:c>
      <x:c r="I12" s="50" t="n">
        <x:v>17</x:v>
      </x:c>
      <x:c r="J12" s="50" t="n">
        <x:v>4.2</x:v>
      </x:c>
      <x:c r="K12" s="50" t="n">
        <x:v>3.2</x:v>
      </x:c>
      <x:c r="L12" s="50" t="n">
        <x:v>2.54</x:v>
      </x:c>
      <x:c r="M12" s="50" t="n">
        <x:v>2.07</x:v>
      </x:c>
      <x:c r="N12" s="50" t="n">
        <x:v>4.2</x:v>
      </x:c>
      <x:c r="O12" s="48" t="str">
        <x:v>R_0603_1608Metric</x:v>
      </x:c>
      <x:c r="P12" s="48" t="str">
        <x:v>一致</x:v>
      </x:c>
      <x:c r="Q12" s="48" t="str">
        <x:v>120Ω ±1%, 0.1W</x:v>
      </x:c>
      <x:c r="R12" s="48" t="str">
        <x:v>採用</x:v>
      </x:c>
      <x:c r="S12" s="48" t="str">
        <x:v>CAN終端抵抗
https://www.digikey.jp/ja/products/detail/yageo/RC0603FR-07120RL/726920</x:v>
      </x:c>
    </x:row>
    <x:row r="13" ht="42" customHeight="1">
      <x:c r="A13" s="45" t="str">
        <x:v>抵抗</x:v>
      </x:c>
      <x:c r="B13" s="45" t="str">
        <x:v>UNIT:R2,R3,R15-R18 / ODOM:R3</x:v>
      </x:c>
      <x:c r="C13" s="45" t="str">
        <x:v>RC0603JR-070RL</x:v>
      </x:c>
      <x:c r="D13" s="45" t="str">
        <x:v>311-0.0GRCT-ND</x:v>
      </x:c>
      <x:c r="E13" s="46" t="n">
        <x:v>24</x:v>
      </x:c>
      <x:c r="F13" s="46" t="n">
        <x:v>25</x:v>
      </x:c>
      <x:c r="G13" s="46" t="n">
        <x:v>1</x:v>
      </x:c>
      <x:c r="H13" s="46" t="n">
        <x:v>6131058</x:v>
      </x:c>
      <x:c r="I13" s="47" t="n">
        <x:v>17</x:v>
      </x:c>
      <x:c r="J13" s="47" t="n">
        <x:v>1.9</x:v>
      </x:c>
      <x:c r="K13" s="47" t="n">
        <x:v>1.48</x:v>
      </x:c>
      <x:c r="L13" s="47" t="n">
        <x:v>1.3</x:v>
      </x:c>
      <x:c r="M13" s="47" t="n">
        <x:v>1.12</x:v>
      </x:c>
      <x:c r="N13" s="47" t="n">
        <x:v>1.48</x:v>
      </x:c>
      <x:c r="O13" s="45" t="str">
        <x:v>R_0603_1608Metric</x:v>
      </x:c>
      <x:c r="P13" s="45" t="str">
        <x:v>一致</x:v>
      </x:c>
      <x:c r="Q13" s="45" t="str">
        <x:v>0Ω jumper</x:v>
      </x:c>
      <x:c r="R13" s="45" t="str">
        <x:v>採用</x:v>
      </x:c>
      <x:c r="S13" s="45" t="str">
        <x:v>必要25個。50個で予備25個
https://www.digikey.jp/ja/products/detail/yageo/RC0603JR-070RL/726675</x:v>
      </x:c>
    </x:row>
    <x:row r="14" ht="42" customHeight="1">
      <x:c r="A14" s="48" t="str">
        <x:v>抵抗</x:v>
      </x:c>
      <x:c r="B14" s="48" t="str">
        <x:v>UNIT:R4 / ODOM:R4</x:v>
      </x:c>
      <x:c r="C14" s="48" t="str">
        <x:v>RC0603FR-0710KL</x:v>
      </x:c>
      <x:c r="D14" s="48" t="str">
        <x:v>311-10.0KHRCT-ND</x:v>
      </x:c>
      <x:c r="E14" s="49" t="n">
        <x:v>4</x:v>
      </x:c>
      <x:c r="F14" s="49" t="n">
        <x:v>10</x:v>
      </x:c>
      <x:c r="G14" s="49" t="n">
        <x:v>6</x:v>
      </x:c>
      <x:c r="H14" s="49" t="n">
        <x:v>2912992</x:v>
      </x:c>
      <x:c r="I14" s="50" t="n">
        <x:v>17</x:v>
      </x:c>
      <x:c r="J14" s="50" t="n">
        <x:v>4.2</x:v>
      </x:c>
      <x:c r="K14" s="50" t="n">
        <x:v>3.12</x:v>
      </x:c>
      <x:c r="L14" s="50" t="n">
        <x:v>2.5</x:v>
      </x:c>
      <x:c r="M14" s="50" t="n">
        <x:v>2.03</x:v>
      </x:c>
      <x:c r="N14" s="50" t="n">
        <x:v>4.2</x:v>
      </x:c>
      <x:c r="O14" s="48" t="str">
        <x:v>R_0603_1608Metric</x:v>
      </x:c>
      <x:c r="P14" s="48" t="str">
        <x:v>一致</x:v>
      </x:c>
      <x:c r="Q14" s="48" t="str">
        <x:v>10kΩ ±1%, 0.1W</x:v>
      </x:c>
      <x:c r="R14" s="48" t="str">
        <x:v>採用</x:v>
      </x:c>
      <x:c r="S14" s="48" t="str">
        <x:v>必要5個。10個価格
https://www.digikey.jp/ja/products/detail/yageo/RC0603FR-0710KL/726880</x:v>
      </x:c>
    </x:row>
    <x:row r="15" ht="42" customHeight="1">
      <x:c r="A15" s="45" t="str">
        <x:v>抵抗</x:v>
      </x:c>
      <x:c r="B15" s="45" t="str">
        <x:v>UNIT:R13</x:v>
      </x:c>
      <x:c r="C15" s="45" t="str">
        <x:v>RC0603FR-0733KL</x:v>
      </x:c>
      <x:c r="D15" s="45" t="str">
        <x:v>311-33.0KHRCT-ND</x:v>
      </x:c>
      <x:c r="E15" s="46" t="n">
        <x:v>4</x:v>
      </x:c>
      <x:c r="F15" s="46" t="n">
        <x:v>10</x:v>
      </x:c>
      <x:c r="G15" s="46" t="n">
        <x:v>6</x:v>
      </x:c>
      <x:c r="H15" s="46" t="n">
        <x:v>365410</x:v>
      </x:c>
      <x:c r="I15" s="47" t="n">
        <x:v>17</x:v>
      </x:c>
      <x:c r="J15" s="47" t="n">
        <x:v>4.2</x:v>
      </x:c>
      <x:c r="K15" s="47" t="n">
        <x:v>3.16</x:v>
      </x:c>
      <x:c r="L15" s="47" t="n">
        <x:v>2.52</x:v>
      </x:c>
      <x:c r="M15" s="47" t="n">
        <x:v>2.06</x:v>
      </x:c>
      <x:c r="N15" s="47" t="n">
        <x:v>4.2</x:v>
      </x:c>
      <x:c r="O15" s="45" t="str">
        <x:v>R_0603_1608Metric</x:v>
      </x:c>
      <x:c r="P15" s="45" t="str">
        <x:v>一致</x:v>
      </x:c>
      <x:c r="Q15" s="45" t="str">
        <x:v>33kΩ ±1%, 0.1W</x:v>
      </x:c>
      <x:c r="R15" s="45" t="str">
        <x:v>採用</x:v>
      </x:c>
      <x:c r="S15" s="45" t="str">
        <x:v>必要4個。10個価格
https://www.digikey.jp/ja/products/detail/yageo/RC0603FR-0733KL/730106</x:v>
      </x:c>
    </x:row>
    <x:row r="16" ht="42" customHeight="1">
      <x:c r="A16" s="48" t="str">
        <x:v>抵抗</x:v>
      </x:c>
      <x:c r="B16" s="48" t="str">
        <x:v>UNIT:R14</x:v>
      </x:c>
      <x:c r="C16" s="48" t="str">
        <x:v>RC0603FR-0722KL</x:v>
      </x:c>
      <x:c r="D16" s="48" t="str">
        <x:v>311-22.0KHRCT-ND</x:v>
      </x:c>
      <x:c r="E16" s="49" t="n">
        <x:v>4</x:v>
      </x:c>
      <x:c r="F16" s="49" t="n">
        <x:v>10</x:v>
      </x:c>
      <x:c r="G16" s="49" t="n">
        <x:v>6</x:v>
      </x:c>
      <x:c r="H16" s="49" t="n">
        <x:v>4633</x:v>
      </x:c>
      <x:c r="I16" s="50" t="n">
        <x:v>17</x:v>
      </x:c>
      <x:c r="J16" s="50" t="n">
        <x:v>4.2</x:v>
      </x:c>
      <x:c r="K16" s="50" t="n">
        <x:v>3.12</x:v>
      </x:c>
      <x:c r="L16" s="50" t="n">
        <x:v>2.5</x:v>
      </x:c>
      <x:c r="M16" s="50" t="n">
        <x:v>2.03</x:v>
      </x:c>
      <x:c r="N16" s="50" t="n">
        <x:v>4.2</x:v>
      </x:c>
      <x:c r="O16" s="48" t="str">
        <x:v>R_0603_1608Metric</x:v>
      </x:c>
      <x:c r="P16" s="48" t="str">
        <x:v>一致</x:v>
      </x:c>
      <x:c r="Q16" s="48" t="str">
        <x:v>22kΩ ±1%, 0.1W</x:v>
      </x:c>
      <x:c r="R16" s="48" t="str">
        <x:v>採用</x:v>
      </x:c>
      <x:c r="S16" s="48" t="str">
        <x:v>必要4個。10個価格
https://www.digikey.jp/ja/products/detail/yageo/RC0603FR-0722KL/727056</x:v>
      </x:c>
    </x:row>
    <x:row r="17" ht="42" customHeight="1">
      <x:c r="A17" s="45" t="str">
        <x:v>抵抗</x:v>
      </x:c>
      <x:c r="B17" s="45" t="str">
        <x:v>UNIT:R19-R22 / ODOM:R19-R22</x:v>
      </x:c>
      <x:c r="C17" s="45" t="str">
        <x:v>RC0603FR-071KL</x:v>
      </x:c>
      <x:c r="D17" s="45" t="str">
        <x:v>311-1.00KHRCT-ND</x:v>
      </x:c>
      <x:c r="E17" s="46" t="n">
        <x:v>16</x:v>
      </x:c>
      <x:c r="F17" s="46" t="n">
        <x:v>25</x:v>
      </x:c>
      <x:c r="G17" s="46" t="n">
        <x:v>9</x:v>
      </x:c>
      <x:c r="H17" s="46" t="n">
        <x:v>4068534</x:v>
      </x:c>
      <x:c r="I17" s="47" t="n">
        <x:v>17</x:v>
      </x:c>
      <x:c r="J17" s="47" t="n">
        <x:v>4.2</x:v>
      </x:c>
      <x:c r="K17" s="47" t="n">
        <x:v>3.12</x:v>
      </x:c>
      <x:c r="L17" s="47" t="n">
        <x:v>2.5</x:v>
      </x:c>
      <x:c r="M17" s="47" t="n">
        <x:v>2.03</x:v>
      </x:c>
      <x:c r="N17" s="47" t="n">
        <x:v>3.12</x:v>
      </x:c>
      <x:c r="O17" s="45" t="str">
        <x:v>R_0603_1608Metric</x:v>
      </x:c>
      <x:c r="P17" s="45" t="str">
        <x:v>一致</x:v>
      </x:c>
      <x:c r="Q17" s="45" t="str">
        <x:v>1kΩ ±1%, 0.1W</x:v>
      </x:c>
      <x:c r="R17" s="45" t="str">
        <x:v>採用</x:v>
      </x:c>
      <x:c r="S17" s="45" t="str">
        <x:v>必要20個。25個価格
https://www.digikey.jp/ja/products/detail/yageo/RC0603FR-071KL/729790</x:v>
      </x:c>
    </x:row>
    <x:row r="18" ht="42" customHeight="1">
      <x:c r="A18" s="54" t="str">
        <x:v>抵抗</x:v>
      </x:c>
      <x:c r="B18" s="54" t="str">
        <x:v>ODOM:R2,R5-R9</x:v>
      </x:c>
      <x:c r="C18" s="54" t="str">
        <x:v>RC0603FR-07100RL</x:v>
      </x:c>
      <x:c r="D18" s="54" t="str">
        <x:v>311-100HRCT-ND</x:v>
      </x:c>
      <x:c r="E18" s="55" t="n">
        <x:v>0</x:v>
      </x:c>
      <x:c r="F18" s="55" t="n">
        <x:v>0</x:v>
      </x:c>
      <x:c r="G18" s="55" t="n">
        <x:v>0</x:v>
      </x:c>
      <x:c r="H18" s="55" t="n">
        <x:v>1142640</x:v>
      </x:c>
      <x:c r="I18" s="56" t="n">
        <x:v>17</x:v>
      </x:c>
      <x:c r="J18" s="56" t="n">
        <x:v>4.2</x:v>
      </x:c>
      <x:c r="K18" s="56" t="n">
        <x:v>3.12</x:v>
      </x:c>
      <x:c r="L18" s="56" t="n">
        <x:v>2.5</x:v>
      </x:c>
      <x:c r="M18" s="56" t="n">
        <x:v>2.03</x:v>
      </x:c>
      <x:c r="N18" s="56" t="n">
        <x:v>0</x:v>
      </x:c>
      <x:c r="O18" s="54" t="str">
        <x:v>R_0603_1608Metric</x:v>
      </x:c>
      <x:c r="P18" s="54" t="str">
        <x:v>一致</x:v>
      </x:c>
      <x:c r="Q18" s="54" t="str">
        <x:v>100Ω ±1%, 0.1W</x:v>
      </x:c>
      <x:c r="R18" s="54" t="str">
        <x:v>ODOM発注済み</x:v>
      </x:c>
      <x:c r="S18" s="54" t="str">
        <x:v>必要6個。10個価格
https://www.digikey.jp/ja/products/detail/yageo/RC0603FR-07100RL/726888</x:v>
      </x:c>
    </x:row>
    <x:row r="19" ht="42" customHeight="1">
      <x:c r="A19" s="45" t="str">
        <x:v>フィルタ</x:v>
      </x:c>
      <x:c r="B19" s="45" t="str">
        <x:v>UNIT:FB1 / ODOM:FB1</x:v>
      </x:c>
      <x:c r="C19" s="45" t="str">
        <x:v>BLM18AG601SN1D</x:v>
      </x:c>
      <x:c r="D19" s="45" t="str">
        <x:v>490-1014-1-ND</x:v>
      </x:c>
      <x:c r="E19" s="46" t="n">
        <x:v>4</x:v>
      </x:c>
      <x:c r="F19" s="46" t="n">
        <x:v>5</x:v>
      </x:c>
      <x:c r="G19" s="46" t="n">
        <x:v>1</x:v>
      </x:c>
      <x:c r="H19" s="46" t="n">
        <x:v>1716062</x:v>
      </x:c>
      <x:c r="I19" s="47" t="n">
        <x:v>17</x:v>
      </x:c>
      <x:c r="J19" s="47" t="n">
        <x:v>9.8</x:v>
      </x:c>
      <x:c r="K19" s="47" t="n">
        <x:v>8.52</x:v>
      </x:c>
      <x:c r="L19" s="47" t="n">
        <x:v>7.66</x:v>
      </x:c>
      <x:c r="M19" s="47" t="n">
        <x:v>6.87</x:v>
      </x:c>
      <x:c r="N19" s="47" t="n">
        <x:v>17</x:v>
      </x:c>
      <x:c r="O19" s="45" t="str">
        <x:v>L_0603_1608Metric</x:v>
      </x:c>
      <x:c r="P19" s="45" t="str">
        <x:v>一致</x:v>
      </x:c>
      <x:c r="Q19" s="45" t="str">
        <x:v>600Ω@100MHz, 500mA, DCR≤0.38Ω</x:v>
      </x:c>
      <x:c r="R19" s="45" t="str">
        <x:v>採用</x:v>
      </x:c>
      <x:c r="S19" s="45" t="str">
        <x:v>VDDAフィルタ
https://www.digikey.jp/ja/products/detail/murata-electronics/BLM18AG601SN1D/584225</x:v>
      </x:c>
    </x:row>
    <x:row r="20" ht="42" customHeight="1">
      <x:c r="A20" s="48" t="str">
        <x:v>保護</x:v>
      </x:c>
      <x:c r="B20" s="48" t="str">
        <x:v>UNIT:D1,D2 / ODOM:D1</x:v>
      </x:c>
      <x:c r="C20" s="48" t="str">
        <x:v>ESD2CAN24DBZRQ1</x:v>
      </x:c>
      <x:c r="D20" s="48" t="str">
        <x:v>296-ESD2CAN24DBZRQ1CT-ND</x:v>
      </x:c>
      <x:c r="E20" s="49" t="n">
        <x:v>8</x:v>
      </x:c>
      <x:c r="F20" s="49" t="n">
        <x:v>10</x:v>
      </x:c>
      <x:c r="G20" s="49" t="n">
        <x:v>2</x:v>
      </x:c>
      <x:c r="H20" s="49" t="n">
        <x:v>255314</x:v>
      </x:c>
      <x:c r="I20" s="50" t="n">
        <x:v>145</x:v>
      </x:c>
      <x:c r="J20" s="50" t="n">
        <x:v>89.5</x:v>
      </x:c>
      <x:c r="K20" s="50"/>
      <x:c r="L20" s="50" t="n">
        <x:v>65.62</x:v>
      </x:c>
      <x:c r="M20" s="50" t="n">
        <x:v>57.84</x:v>
      </x:c>
      <x:c r="N20" s="50" t="n">
        <x:v>89.5</x:v>
      </x:c>
      <x:c r="O20" s="48" t="str">
        <x:v>SOT-23</x:v>
      </x:c>
      <x:c r="P20" s="48" t="str">
        <x:v>一致</x:v>
      </x:c>
      <x:c r="Q20" s="48" t="str">
        <x:v>2ch双方向, 24V standoff, 3pF</x:v>
      </x:c>
      <x:c r="R20" s="48" t="str">
        <x:v>採用</x:v>
      </x:c>
      <x:c r="S20" s="48" t="str">
        <x:v>CAN用AEC-Q101品
https://www.digikey.jp/ja/products/detail/texas-instruments/ESD2CAN24DBZRQ1/16982262</x:v>
      </x:c>
    </x:row>
    <x:row r="21" ht="42" customHeight="1">
      <x:c r="A21" s="54" t="str">
        <x:v>保護</x:v>
      </x:c>
      <x:c r="B21" s="54" t="str">
        <x:v>ODOM:D2-D4</x:v>
      </x:c>
      <x:c r="C21" s="54" t="str">
        <x:v>ESDS452DBZR</x:v>
      </x:c>
      <x:c r="D21" s="54" t="str">
        <x:v>296-ESDS452DBZRCT-ND</x:v>
      </x:c>
      <x:c r="E21" s="55" t="n">
        <x:v>0</x:v>
      </x:c>
      <x:c r="F21" s="55" t="n">
        <x:v>0</x:v>
      </x:c>
      <x:c r="G21" s="55" t="n">
        <x:v>0</x:v>
      </x:c>
      <x:c r="H21" s="55" t="n">
        <x:v>2153</x:v>
      </x:c>
      <x:c r="I21" s="56" t="n">
        <x:v>105</x:v>
      </x:c>
      <x:c r="J21" s="56" t="n">
        <x:v>65</x:v>
      </x:c>
      <x:c r="K21" s="56"/>
      <x:c r="L21" s="56" t="n">
        <x:v>47.24</x:v>
      </x:c>
      <x:c r="M21" s="56" t="n">
        <x:v>41.47</x:v>
      </x:c>
      <x:c r="N21" s="56" t="n">
        <x:v>0</x:v>
      </x:c>
      <x:c r="O21" s="54" t="str">
        <x:v>SOT-23</x:v>
      </x:c>
      <x:c r="P21" s="54" t="str">
        <x:v>一致</x:v>
      </x:c>
      <x:c r="Q21" s="54" t="str">
        <x:v>2ch双方向, 5.5V standoff, 3pF</x:v>
      </x:c>
      <x:c r="R21" s="54" t="str">
        <x:v>ODOM発注済み</x:v>
      </x:c>
      <x:c r="S21" s="54" t="str">
        <x:v>AMT102 A/B入力用。必要3個＋予備1個
https://www.digikey.jp/ja/products/detail/texas-instruments/ESDS452DBZR/23065579</x:v>
      </x:c>
    </x:row>
    <x:row r="22" ht="42" customHeight="1">
      <x:c r="A22" s="48" t="str">
        <x:v>LED</x:v>
      </x:c>
      <x:c r="B22" s="48" t="str">
        <x:v>UNIT:D6,D8 / ODOM:D6,D8</x:v>
      </x:c>
      <x:c r="C22" s="48" t="str">
        <x:v>LTST-C190KGKT</x:v>
      </x:c>
      <x:c r="D22" s="48" t="str">
        <x:v>160-1435-1-ND</x:v>
      </x:c>
      <x:c r="E22" s="49" t="n">
        <x:v>8</x:v>
      </x:c>
      <x:c r="F22" s="49" t="n">
        <x:v>10</x:v>
      </x:c>
      <x:c r="G22" s="49" t="n">
        <x:v>2</x:v>
      </x:c>
      <x:c r="H22" s="49" t="n">
        <x:v>1893679</x:v>
      </x:c>
      <x:c r="I22" s="50" t="n">
        <x:v>25</x:v>
      </x:c>
      <x:c r="J22" s="50" t="n">
        <x:v>17.5</x:v>
      </x:c>
      <x:c r="K22" s="50"/>
      <x:c r="L22" s="50"/>
      <x:c r="M22" s="50" t="n">
        <x:v>12.05</x:v>
      </x:c>
      <x:c r="N22" s="50" t="n">
        <x:v>17.5</x:v>
      </x:c>
      <x:c r="O22" s="48" t="str">
        <x:v>LED_0603_1608Metric</x:v>
      </x:c>
      <x:c r="P22" s="48" t="str">
        <x:v>一致</x:v>
      </x:c>
      <x:c r="Q22" s="48" t="str">
        <x:v>緑, Vf typ 2.15V, 20mA test</x:v>
      </x:c>
      <x:c r="R22" s="48" t="str">
        <x:v>採用</x:v>
      </x:c>
      <x:c r="S22" s="48" t="str">
        <x:v>必要10個＋予備2個
https://www.digikey.jp/ja/products/detail/liteon/LTST-C190KGKT/386815</x:v>
      </x:c>
    </x:row>
    <x:row r="23" ht="42" customHeight="1">
      <x:c r="A23" s="51" t="str">
        <x:v>ダイオード</x:v>
      </x:c>
      <x:c r="B23" s="51" t="str">
        <x:v>UNIT:D7</x:v>
      </x:c>
      <x:c r="C23" s="51" t="str">
        <x:v>BAT54S-HF</x:v>
      </x:c>
      <x:c r="D23" s="51" t="str">
        <x:v>641-BAT54S-HFCT-ND</x:v>
      </x:c>
      <x:c r="E23" s="52" t="n">
        <x:v>4</x:v>
      </x:c>
      <x:c r="F23" s="52" t="n">
        <x:v>10</x:v>
      </x:c>
      <x:c r="G23" s="52" t="n">
        <x:v>6</x:v>
      </x:c>
      <x:c r="H23" s="52" t="n">
        <x:v>306288</x:v>
      </x:c>
      <x:c r="I23" s="53" t="n">
        <x:v>35</x:v>
      </x:c>
      <x:c r="J23" s="53" t="n">
        <x:v>21.1</x:v>
      </x:c>
      <x:c r="K23" s="53"/>
      <x:c r="L23" s="53"/>
      <x:c r="M23" s="53" t="n">
        <x:v>13.03</x:v>
      </x:c>
      <x:c r="N23" s="53" t="n">
        <x:v>21.1</x:v>
      </x:c>
      <x:c r="O23" s="51" t="str">
        <x:v>SOT-23</x:v>
      </x:c>
      <x:c r="P23" s="51" t="str">
        <x:v>一致</x:v>
      </x:c>
      <x:c r="Q23" s="51" t="str">
        <x:v>dual series, 30V, 200mA/diode</x:v>
      </x:c>
      <x:c r="R23" s="51" t="str">
        <x:v>採用（置換）</x:v>
      </x:c>
      <x:c r="S23" s="51" t="str">
        <x:v>onsemi/Diotec品欠品。Comchip公式DSで直列2素子構成とpin配列を照合
https://www.digikey.jp/ja/products/detail/comchip-technology/BAT54S-HF/10443826</x:v>
      </x:c>
    </x:row>
    <x:row r="24" ht="42" customHeight="1">
      <x:c r="A24" s="48" t="str">
        <x:v>LED</x:v>
      </x:c>
      <x:c r="B24" s="48" t="str">
        <x:v>UNIT:D9 / ODOM:D9</x:v>
      </x:c>
      <x:c r="C24" s="48" t="str">
        <x:v>LTST-C190KSKT</x:v>
      </x:c>
      <x:c r="D24" s="48" t="str">
        <x:v>160-1437-1-ND</x:v>
      </x:c>
      <x:c r="E24" s="49" t="n">
        <x:v>4</x:v>
      </x:c>
      <x:c r="F24" s="49" t="n">
        <x:v>5</x:v>
      </x:c>
      <x:c r="G24" s="49" t="n">
        <x:v>1</x:v>
      </x:c>
      <x:c r="H24" s="49" t="n">
        <x:v>361422</x:v>
      </x:c>
      <x:c r="I24" s="50" t="n">
        <x:v>25</x:v>
      </x:c>
      <x:c r="J24" s="50" t="n">
        <x:v>17.3</x:v>
      </x:c>
      <x:c r="K24" s="50"/>
      <x:c r="L24" s="50"/>
      <x:c r="M24" s="50" t="n">
        <x:v>11.89</x:v>
      </x:c>
      <x:c r="N24" s="50" t="n">
        <x:v>25</x:v>
      </x:c>
      <x:c r="O24" s="48" t="str">
        <x:v>LED_0603_1608Metric</x:v>
      </x:c>
      <x:c r="P24" s="48" t="str">
        <x:v>一致</x:v>
      </x:c>
      <x:c r="Q24" s="48" t="str">
        <x:v>黄, Vf typ 2.1V, 20mA test</x:v>
      </x:c>
      <x:c r="R24" s="48" t="str">
        <x:v>採用</x:v>
      </x:c>
      <x:c r="S24" s="48" t="str">
        <x:v>必要5個＋予備1個
https://www.digikey.jp/ja/products/detail/liteon/LTST-C190KSKT/386819</x:v>
      </x:c>
    </x:row>
    <x:row r="25" ht="42" customHeight="1">
      <x:c r="A25" s="45" t="str">
        <x:v>LED</x:v>
      </x:c>
      <x:c r="B25" s="45" t="str">
        <x:v>UNIT:D10 / ODOM:D10</x:v>
      </x:c>
      <x:c r="C25" s="45" t="str">
        <x:v>LTST-C190KRKT</x:v>
      </x:c>
      <x:c r="D25" s="45" t="str">
        <x:v>160-1436-1-ND</x:v>
      </x:c>
      <x:c r="E25" s="46" t="n">
        <x:v>4</x:v>
      </x:c>
      <x:c r="F25" s="46" t="n">
        <x:v>5</x:v>
      </x:c>
      <x:c r="G25" s="46" t="n">
        <x:v>1</x:v>
      </x:c>
      <x:c r="H25" s="46" t="n">
        <x:v>770130</x:v>
      </x:c>
      <x:c r="I25" s="47" t="n">
        <x:v>23</x:v>
      </x:c>
      <x:c r="J25" s="47" t="n">
        <x:v>16.3</x:v>
      </x:c>
      <x:c r="K25" s="47"/>
      <x:c r="L25" s="47"/>
      <x:c r="M25" s="47" t="n">
        <x:v>11.23</x:v>
      </x:c>
      <x:c r="N25" s="47" t="n">
        <x:v>23</x:v>
      </x:c>
      <x:c r="O25" s="45" t="str">
        <x:v>LED_0603_1608Metric</x:v>
      </x:c>
      <x:c r="P25" s="45" t="str">
        <x:v>一致</x:v>
      </x:c>
      <x:c r="Q25" s="45" t="str">
        <x:v>赤, Vf typ 2.0V, 20mA test</x:v>
      </x:c>
      <x:c r="R25" s="45" t="str">
        <x:v>採用</x:v>
      </x:c>
      <x:c r="S25" s="45" t="str">
        <x:v>必要5個＋予備1個
https://www.digikey.jp/ja/products/detail/liteon/LTST-C190KRKT/386816</x:v>
      </x:c>
    </x:row>
    <x:row r="26" ht="42" customHeight="1">
      <x:c r="A26" s="54" t="str">
        <x:v>コネクタ</x:v>
      </x:c>
      <x:c r="B26" s="54" t="str">
        <x:v>UNIT:J1 / ODOM:J1</x:v>
      </x:c>
      <x:c r="C26" s="54" t="str">
        <x:v>SM02B-GHS-TB</x:v>
      </x:c>
      <x:c r="D26" s="54" t="str">
        <x:v>455-1564-1-ND</x:v>
      </x:c>
      <x:c r="E26" s="55" t="n">
        <x:v>4</x:v>
      </x:c>
      <x:c r="F26" s="55" t="n">
        <x:v>0</x:v>
      </x:c>
      <x:c r="G26" s="55" t="n">
        <x:v>0</x:v>
      </x:c>
      <x:c r="H26" s="55"/>
      <x:c r="I26" s="56" t="n">
        <x:v>59</x:v>
      </x:c>
      <x:c r="J26" s="56"/>
      <x:c r="K26" s="56"/>
      <x:c r="L26" s="56"/>
      <x:c r="M26" s="56"/>
      <x:c r="N26" s="56" t="n">
        <x:v>59</x:v>
      </x:c>
      <x:c r="O26" s="54" t="str">
        <x:v>JST_GH_SM02B-GHS-TB Horizontal</x:v>
      </x:c>
      <x:c r="P26" s="54" t="str">
        <x:v>現物手持ち</x:v>
      </x:c>
      <x:c r="Q26" s="54" t="str">
        <x:v>2極, 1.25mm, 1A/50V</x:v>
      </x:c>
      <x:c r="R26" s="54" t="str">
        <x:v>購入不要</x:v>
      </x:c>
      <x:c r="S26" s="54" t="str">
        <x:v>必要5個を現物で確認
https://www.digikey.jp/ja/products/detail/jst-sales-america-inc/SM02B-GHS-TB/807832</x:v>
      </x:c>
    </x:row>
    <x:row r="27" ht="42" customHeight="1">
      <x:c r="A27" s="57" t="str">
        <x:v>コネクタ</x:v>
      </x:c>
      <x:c r="B27" s="57" t="str">
        <x:v>UNIT:J2-J5 / ODOM:J2</x:v>
      </x:c>
      <x:c r="C27" s="57" t="str">
        <x:v>SM03B-GHS-TB</x:v>
      </x:c>
      <x:c r="D27" s="57" t="str">
        <x:v>455-SM03B-GHS-TBCT-ND</x:v>
      </x:c>
      <x:c r="E27" s="58" t="n">
        <x:v>16</x:v>
      </x:c>
      <x:c r="F27" s="58" t="n">
        <x:v>20</x:v>
      </x:c>
      <x:c r="G27" s="58" t="n">
        <x:v>4</x:v>
      </x:c>
      <x:c r="H27" s="58" t="n">
        <x:v>0</x:v>
      </x:c>
      <x:c r="I27" s="59" t="n">
        <x:v>62</x:v>
      </x:c>
      <x:c r="J27" s="59" t="n">
        <x:v>52.1</x:v>
      </x:c>
      <x:c r="K27" s="59"/>
      <x:c r="L27" s="59"/>
      <x:c r="M27" s="59" t="n">
        <x:v>44.2</x:v>
      </x:c>
      <x:c r="N27" s="59" t="n">
        <x:v>53.2</x:v>
      </x:c>
      <x:c r="O27" s="57" t="str">
        <x:v>JST_GH_SM03B-GHS-TB Horizontal</x:v>
      </x:c>
      <x:c r="P27" s="57" t="str">
        <x:v>専用品・一致</x:v>
      </x:c>
      <x:c r="Q27" s="57" t="str">
        <x:v>3極, 1.25mm, 1A/50V</x:v>
      </x:c>
      <x:c r="R27" s="57" t="str">
        <x:v>繰越注文</x:v>
      </x:c>
      <x:c r="S27" s="57" t="str">
        <x:v>在庫0。向き違い代替は既存PCBに不適合
https://www.digikey.jp/ja/products/detail/jst-sales-america-inc/SM03B-GHS-TB/807787</x:v>
      </x:c>
    </x:row>
    <x:row r="28" ht="42" customHeight="1">
      <x:c r="A28" s="54" t="str">
        <x:v>コネクタ</x:v>
      </x:c>
      <x:c r="B28" s="54" t="str">
        <x:v>UNIT:J6</x:v>
      </x:c>
      <x:c r="C28" s="54" t="str">
        <x:v>SM06B-GHS-TB</x:v>
      </x:c>
      <x:c r="D28" s="54" t="str">
        <x:v>455-1568-1-ND</x:v>
      </x:c>
      <x:c r="E28" s="55" t="n">
        <x:v>4</x:v>
      </x:c>
      <x:c r="F28" s="55" t="n">
        <x:v>0</x:v>
      </x:c>
      <x:c r="G28" s="55" t="n">
        <x:v>0</x:v>
      </x:c>
      <x:c r="H28" s="55"/>
      <x:c r="I28" s="56" t="n">
        <x:v>83</x:v>
      </x:c>
      <x:c r="J28" s="56"/>
      <x:c r="K28" s="56"/>
      <x:c r="L28" s="56"/>
      <x:c r="M28" s="56"/>
      <x:c r="N28" s="56" t="n">
        <x:v>83</x:v>
      </x:c>
      <x:c r="O28" s="54" t="str">
        <x:v>JST_GH_SM06B-GHS-TB Horizontal</x:v>
      </x:c>
      <x:c r="P28" s="54" t="str">
        <x:v>現物手持ち</x:v>
      </x:c>
      <x:c r="Q28" s="54" t="str">
        <x:v>6極, 1.25mm, 1A/50V</x:v>
      </x:c>
      <x:c r="R28" s="54" t="str">
        <x:v>購入不要</x:v>
      </x:c>
      <x:c r="S28" s="54" t="str">
        <x:v>必要4個を現物で確認
https://www.digikey.jp/ja/products/detail/jst-sales-america-inc/SM06B-GHS-TB/807790</x:v>
      </x:c>
    </x:row>
    <x:row r="29" ht="42" customHeight="1">
      <x:c r="A29" s="54" t="str">
        <x:v>コネクタ</x:v>
      </x:c>
      <x:c r="B29" s="54" t="str">
        <x:v>UNIT:J7 / ODOM:J8</x:v>
      </x:c>
      <x:c r="C29" s="54" t="str">
        <x:v>BM06B-GHS-TBT</x:v>
      </x:c>
      <x:c r="D29" s="54" t="str">
        <x:v>455-BM06B-GHS-TBTCT-ND</x:v>
      </x:c>
      <x:c r="E29" s="55" t="n">
        <x:v>4</x:v>
      </x:c>
      <x:c r="F29" s="55" t="n">
        <x:v>0</x:v>
      </x:c>
      <x:c r="G29" s="55" t="n">
        <x:v>0</x:v>
      </x:c>
      <x:c r="H29" s="55"/>
      <x:c r="I29" s="56" t="n">
        <x:v>78</x:v>
      </x:c>
      <x:c r="J29" s="56"/>
      <x:c r="K29" s="56"/>
      <x:c r="L29" s="56"/>
      <x:c r="M29" s="56"/>
      <x:c r="N29" s="56" t="n">
        <x:v>78</x:v>
      </x:c>
      <x:c r="O29" s="54" t="str">
        <x:v>JST_GH_BM06B-GHS-TBT Vertical</x:v>
      </x:c>
      <x:c r="P29" s="54" t="str">
        <x:v>現物手持ち</x:v>
      </x:c>
      <x:c r="Q29" s="54" t="str">
        <x:v>6極, 1.25mm, 1A/50V</x:v>
      </x:c>
      <x:c r="R29" s="54" t="str">
        <x:v>購入不要</x:v>
      </x:c>
      <x:c r="S29" s="54" t="str">
        <x:v>必要5個を現物で確認
https://www.digikey.jp/ja/products/detail/jst-sales-america-inc/BM06B-GHS-TBT/807804</x:v>
      </x:c>
    </x:row>
    <x:row r="30" ht="42" customHeight="1">
      <x:c r="A30" s="54" t="str">
        <x:v>コネクタ</x:v>
      </x:c>
      <x:c r="B30" s="54" t="str">
        <x:v>ODOM:J4-J6</x:v>
      </x:c>
      <x:c r="C30" s="54" t="str">
        <x:v>B4B-XH-AM</x:v>
      </x:c>
      <x:c r="D30" s="54" t="str">
        <x:v>455-B4B-XH-AM-ND</x:v>
      </x:c>
      <x:c r="E30" s="55" t="n">
        <x:v>0</x:v>
      </x:c>
      <x:c r="F30" s="55" t="n">
        <x:v>0</x:v>
      </x:c>
      <x:c r="G30" s="55" t="n">
        <x:v>0</x:v>
      </x:c>
      <x:c r="H30" s="55" t="n">
        <x:v>2415</x:v>
      </x:c>
      <x:c r="I30" s="56" t="n">
        <x:v>30</x:v>
      </x:c>
      <x:c r="J30" s="56" t="n">
        <x:v>25.6</x:v>
      </x:c>
      <x:c r="K30" s="56"/>
      <x:c r="L30" s="56"/>
      <x:c r="M30" s="56" t="n">
        <x:v>21.71</x:v>
      </x:c>
      <x:c r="N30" s="56" t="n">
        <x:v>0</x:v>
      </x:c>
      <x:c r="O30" s="54" t="str">
        <x:v>JST_XH_B4B-XH-AM Vertical THT</x:v>
      </x:c>
      <x:c r="P30" s="54" t="str">
        <x:v>一致</x:v>
      </x:c>
      <x:c r="Q30" s="54" t="str">
        <x:v>4極, 2.50mm, 3A/250V</x:v>
      </x:c>
      <x:c r="R30" s="54" t="str">
        <x:v>ODOM発注済み</x:v>
      </x:c>
      <x:c r="S30" s="54" t="str">
        <x:v>必要3個＋予備1個
https://www.digikey.jp/ja/products/detail/jst-sales-america-inc/B4B-XH-AM/1651035</x:v>
      </x:c>
    </x:row>
    <x:row r="31" ht="42" customHeight="1">
      <x:c r="A31" s="54" t="str">
        <x:v>コネクタ</x:v>
      </x:c>
      <x:c r="B31" s="54" t="str">
        <x:v>ODOM:J7</x:v>
      </x:c>
      <x:c r="C31" s="54" t="str">
        <x:v>B8B-XH-AM</x:v>
      </x:c>
      <x:c r="D31" s="54" t="str">
        <x:v>455-2232-ND</x:v>
      </x:c>
      <x:c r="E31" s="55" t="n">
        <x:v>0</x:v>
      </x:c>
      <x:c r="F31" s="55" t="n">
        <x:v>0</x:v>
      </x:c>
      <x:c r="G31" s="55" t="n">
        <x:v>0</x:v>
      </x:c>
      <x:c r="H31" s="55" t="n">
        <x:v>3610</x:v>
      </x:c>
      <x:c r="I31" s="56" t="n">
        <x:v>52</x:v>
      </x:c>
      <x:c r="J31" s="56" t="n">
        <x:v>44.3</x:v>
      </x:c>
      <x:c r="K31" s="56"/>
      <x:c r="L31" s="56"/>
      <x:c r="M31" s="56" t="n">
        <x:v>37.55</x:v>
      </x:c>
      <x:c r="N31" s="56" t="n">
        <x:v>0</x:v>
      </x:c>
      <x:c r="O31" s="54" t="str">
        <x:v>JST_XH_B8B-XH-AM Vertical THT</x:v>
      </x:c>
      <x:c r="P31" s="54" t="str">
        <x:v>一致</x:v>
      </x:c>
      <x:c r="Q31" s="54" t="str">
        <x:v>8極, 2.50mm, 3A/250V</x:v>
      </x:c>
      <x:c r="R31" s="54" t="str">
        <x:v>ODOM発注済み</x:v>
      </x:c>
      <x:c r="S31" s="54" t="str">
        <x:v>必要1個＋予備1個
https://www.digikey.jp/ja/products/detail/jst-sales-america-inc/B8B-XH-AM/1651030</x:v>
      </x:c>
    </x:row>
    <x:row r="32" ht="42" customHeight="1">
      <x:c r="A32" s="48" t="str">
        <x:v>スイッチ</x:v>
      </x:c>
      <x:c r="B32" s="48" t="str">
        <x:v>UNIT:SW1 / ODOM:SW1</x:v>
      </x:c>
      <x:c r="C32" s="48" t="str">
        <x:v>JS102011SAQN</x:v>
      </x:c>
      <x:c r="D32" s="48" t="str">
        <x:v>401-1999-1-ND</x:v>
      </x:c>
      <x:c r="E32" s="49" t="n">
        <x:v>4</x:v>
      </x:c>
      <x:c r="F32" s="49" t="n">
        <x:v>5</x:v>
      </x:c>
      <x:c r="G32" s="49" t="n">
        <x:v>1</x:v>
      </x:c>
      <x:c r="H32" s="49" t="n">
        <x:v>56976</x:v>
      </x:c>
      <x:c r="I32" s="50" t="n">
        <x:v>150</x:v>
      </x:c>
      <x:c r="J32" s="50" t="n">
        <x:v>128.1</x:v>
      </x:c>
      <x:c r="K32" s="50" t="n">
        <x:v>119.24</x:v>
      </x:c>
      <x:c r="L32" s="50"/>
      <x:c r="M32" s="50" t="n">
        <x:v>106.37</x:v>
      </x:c>
      <x:c r="N32" s="50" t="n">
        <x:v>150</x:v>
      </x:c>
      <x:c r="O32" s="48" t="str">
        <x:v>DifferentialSwerve:JS102011SAQN</x:v>
      </x:c>
      <x:c r="P32" s="48" t="str">
        <x:v>専用footprint一致</x:v>
      </x:c>
      <x:c r="Q32" s="48" t="str">
        <x:v>SPDT ON-ON, 300mA@6VDC</x:v>
      </x:c>
      <x:c r="R32" s="48" t="str">
        <x:v>採用</x:v>
      </x:c>
      <x:c r="S32" s="48" t="str">
        <x:v>CAN終端切替。必要5個＋予備1個
https://www.digikey.jp/ja/products/detail/c-k/JS102011SAQN/1640095</x:v>
      </x:c>
    </x:row>
    <x:row r="33" ht="42" customHeight="1">
      <x:c r="A33" s="51" t="str">
        <x:v>スイッチ</x:v>
      </x:c>
      <x:c r="B33" s="51" t="str">
        <x:v>UNIT:SW3 / ODOM:SW3</x:v>
      </x:c>
      <x:c r="C33" s="51" t="str">
        <x:v>DS04-254-1-03BK-SMT</x:v>
      </x:c>
      <x:c r="D33" s="51" t="str">
        <x:v>2223-DS04-254-1-03BK-SMT-ND</x:v>
      </x:c>
      <x:c r="E33" s="52" t="n">
        <x:v>4</x:v>
      </x:c>
      <x:c r="F33" s="52" t="n">
        <x:v>5</x:v>
      </x:c>
      <x:c r="G33" s="52" t="n">
        <x:v>1</x:v>
      </x:c>
      <x:c r="H33" s="52" t="n">
        <x:v>1546</x:v>
      </x:c>
      <x:c r="I33" s="53" t="n">
        <x:v>204</x:v>
      </x:c>
      <x:c r="J33" s="53" t="n">
        <x:v>170.5</x:v>
      </x:c>
      <x:c r="K33" s="53"/>
      <x:c r="L33" s="53" t="n">
        <x:v>149.72</x:v>
      </x:c>
      <x:c r="M33" s="53" t="n">
        <x:v>141.29</x:v>
      </x:c>
      <x:c r="N33" s="53" t="n">
        <x:v>204</x:v>
      </x:c>
      <x:c r="O33" s="51" t="str">
        <x:v>Omron A6S 3-pole footprint (8.9mm row)</x:v>
      </x:c>
      <x:c r="P33" s="51" t="str">
        <x:v>ランド一致</x:v>
      </x:c>
      <x:c r="Q33" s="51" t="str">
        <x:v>3極SPST, 25mA@24VDC</x:v>
      </x:c>
      <x:c r="R33" s="51" t="str">
        <x:v>採用（置換）</x:v>
      </x:c>
      <x:c r="S33" s="51" t="str">
        <x:v>推奨pad外端10.4/内端7.4mm→中心列間8.9mm、縦2.54mm。既存pad 1.5×1.1mmと一致
https://www.digikey.jp/ja/products/detail/same-sky-formerly-cui-devices/DS04-254-1-03BK-SMT/11310852</x:v>
      </x:c>
    </x:row>
    <x:row r="34" ht="42" customHeight="1">
      <x:c r="A34" s="48" t="str">
        <x:v>電源IC</x:v>
      </x:c>
      <x:c r="B34" s="48" t="str">
        <x:v>UNIT:U1 / ODOM:U5</x:v>
      </x:c>
      <x:c r="C34" s="48" t="str">
        <x:v>LM66100DCKT</x:v>
      </x:c>
      <x:c r="D34" s="48" t="str">
        <x:v>296-53540-1-ND</x:v>
      </x:c>
      <x:c r="E34" s="49" t="n">
        <x:v>4</x:v>
      </x:c>
      <x:c r="F34" s="49" t="n">
        <x:v>5</x:v>
      </x:c>
      <x:c r="G34" s="49" t="n">
        <x:v>1</x:v>
      </x:c>
      <x:c r="H34" s="49" t="n">
        <x:v>1456</x:v>
      </x:c>
      <x:c r="I34" s="50" t="n">
        <x:v>160</x:v>
      </x:c>
      <x:c r="J34" s="50" t="n">
        <x:v>114.3</x:v>
      </x:c>
      <x:c r="K34" s="50" t="n">
        <x:v>103</x:v>
      </x:c>
      <x:c r="L34" s="50"/>
      <x:c r="M34" s="50" t="n">
        <x:v>90.62</x:v>
      </x:c>
      <x:c r="N34" s="50" t="n">
        <x:v>160</x:v>
      </x:c>
      <x:c r="O34" s="48" t="str">
        <x:v>SOT-363 / SC-70-6</x:v>
      </x:c>
      <x:c r="P34" s="48" t="str">
        <x:v>一致</x:v>
      </x:c>
      <x:c r="Q34" s="48" t="str">
        <x:v>1.5–5.5V, 1.5A ideal diode</x:v>
      </x:c>
      <x:c r="R34" s="48" t="str">
        <x:v>採用</x:v>
      </x:c>
      <x:c r="S34" s="48" t="str">
        <x:v>DCKR/DCKTは梱包差のみ
https://www.digikey.jp/ja/products/detail/texas-instruments/LM66100DCKT/10273182</x:v>
      </x:c>
    </x:row>
    <x:row r="35" ht="42" customHeight="1">
      <x:c r="A35" s="51" t="str">
        <x:v>電源IC</x:v>
      </x:c>
      <x:c r="B35" s="51" t="str">
        <x:v>UNIT:U2 / ODOM:U2</x:v>
      </x:c>
      <x:c r="C35" s="51" t="str">
        <x:v>TLV76133DCYR</x:v>
      </x:c>
      <x:c r="D35" s="51" t="str">
        <x:v>296-TLV76133DCYRCT-ND</x:v>
      </x:c>
      <x:c r="E35" s="52" t="n">
        <x:v>4</x:v>
      </x:c>
      <x:c r="F35" s="52" t="n">
        <x:v>5</x:v>
      </x:c>
      <x:c r="G35" s="52" t="n">
        <x:v>1</x:v>
      </x:c>
      <x:c r="H35" s="52" t="n">
        <x:v>673</x:v>
      </x:c>
      <x:c r="I35" s="53" t="n">
        <x:v>98</x:v>
      </x:c>
      <x:c r="J35" s="53" t="n">
        <x:v>68.9</x:v>
      </x:c>
      <x:c r="K35" s="53" t="n">
        <x:v>61.56</x:v>
      </x:c>
      <x:c r="L35" s="53"/>
      <x:c r="M35" s="53" t="n">
        <x:v>53.59</x:v>
      </x:c>
      <x:c r="N35" s="53" t="n">
        <x:v>98</x:v>
      </x:c>
      <x:c r="O35" s="51" t="str">
        <x:v>SOT-223-3, tab=pin2</x:v>
      </x:c>
      <x:c r="P35" s="51" t="str">
        <x:v>pin 1=GND, 2/tab=OUT, 3=IN</x:v>
      </x:c>
      <x:c r="Q35" s="51" t="str">
        <x:v>3.3V fixed, 1A, Vin max 18V</x:v>
      </x:c>
      <x:c r="R35" s="51" t="str">
        <x:v>採用（置換）</x:v>
      </x:c>
      <x:c r="S35" s="51" t="str">
        <x:v>旧TLV1117LV33DCYRと実装pin配置一致。セラミック出力安定
https://www.digikey.jp/ja/products/detail/texas-instruments/TLV76133DCYR/18716472</x:v>
      </x:c>
    </x:row>
    <x:row r="36" ht="42" customHeight="1">
      <x:c r="A36" s="48" t="str">
        <x:v>通信IC</x:v>
      </x:c>
      <x:c r="B36" s="48" t="str">
        <x:v>UNIT:U3,U5 / ODOM:U4</x:v>
      </x:c>
      <x:c r="C36" s="48" t="str">
        <x:v>TCAN1051VDRQ1</x:v>
      </x:c>
      <x:c r="D36" s="48" t="str">
        <x:v>296-44228-1-ND</x:v>
      </x:c>
      <x:c r="E36" s="49" t="n">
        <x:v>8</x:v>
      </x:c>
      <x:c r="F36" s="49" t="n">
        <x:v>10</x:v>
      </x:c>
      <x:c r="G36" s="49" t="n">
        <x:v>2</x:v>
      </x:c>
      <x:c r="H36" s="49" t="n">
        <x:v>2643</x:v>
      </x:c>
      <x:c r="I36" s="50" t="n">
        <x:v>429</x:v>
      </x:c>
      <x:c r="J36" s="50" t="n">
        <x:v>318.8</x:v>
      </x:c>
      <x:c r="K36" s="50" t="n">
        <x:v>291.32</x:v>
      </x:c>
      <x:c r="L36" s="50"/>
      <x:c r="M36" s="50" t="n">
        <x:v>261.07</x:v>
      </x:c>
      <x:c r="N36" s="50" t="n">
        <x:v>318.8</x:v>
      </x:c>
      <x:c r="O36" s="48" t="str">
        <x:v>SOIC-8 3.9×4.9mm P1.27</x:v>
      </x:c>
      <x:c r="P36" s="48" t="str">
        <x:v>一致</x:v>
      </x:c>
      <x:c r="Q36" s="48" t="str">
        <x:v>CAN FD 2Mbps, VIO, 4.5–5.5V</x:v>
      </x:c>
      <x:c r="R36" s="48" t="str">
        <x:v>採用</x:v>
      </x:c>
      <x:c r="S36" s="48" t="str">
        <x:v>必要9個＋予備1個、10個価格
https://www.digikey.jp/ja/products/detail/texas-instruments/TCAN1051VDRQ1/6052110</x:v>
      </x:c>
    </x:row>
    <x:row r="37" ht="42" customHeight="1">
      <x:c r="A37" s="54" t="str">
        <x:v>ロジックIC</x:v>
      </x:c>
      <x:c r="B37" s="54" t="str">
        <x:v>ODOM:U3,U7,U9</x:v>
      </x:c>
      <x:c r="C37" s="54" t="str">
        <x:v>SN74LVC2G17DBVT</x:v>
      </x:c>
      <x:c r="D37" s="54" t="str">
        <x:v>296-26621-1-ND</x:v>
      </x:c>
      <x:c r="E37" s="55" t="n">
        <x:v>0</x:v>
      </x:c>
      <x:c r="F37" s="55" t="n">
        <x:v>0</x:v>
      </x:c>
      <x:c r="G37" s="55" t="n">
        <x:v>0</x:v>
      </x:c>
      <x:c r="H37" s="55" t="n">
        <x:v>24627</x:v>
      </x:c>
      <x:c r="I37" s="56" t="n">
        <x:v>201</x:v>
      </x:c>
      <x:c r="J37" s="56" t="n">
        <x:v>145.6</x:v>
      </x:c>
      <x:c r="K37" s="56" t="n">
        <x:v>131.68</x:v>
      </x:c>
      <x:c r="L37" s="56"/>
      <x:c r="M37" s="56" t="n">
        <x:v>116.47</x:v>
      </x:c>
      <x:c r="N37" s="56" t="n">
        <x:v>0</x:v>
      </x:c>
      <x:c r="O37" s="54" t="str">
        <x:v>SOT-23-6</x:v>
      </x:c>
      <x:c r="P37" s="54" t="str">
        <x:v>一致</x:v>
      </x:c>
      <x:c r="Q37" s="54" t="str">
        <x:v>dual Schmitt buffer, 1.65–5.5V</x:v>
      </x:c>
      <x:c r="R37" s="54" t="str">
        <x:v>ODOM発注済み</x:v>
      </x:c>
      <x:c r="S37" s="54" t="str">
        <x:v>DBVR/DBVTは梱包差のみ
https://www.digikey.jp/ja/products/detail/texas-instruments/SN74LVC2G17DBVT/2255079</x:v>
      </x:c>
    </x:row>
    <x:row r="38" ht="42" customHeight="1">
      <x:c r="A38" s="51" t="str">
        <x:v>水晶</x:v>
      </x:c>
      <x:c r="B38" s="51" t="str">
        <x:v>UNIT:Y1 / ODOM:Y1</x:v>
      </x:c>
      <x:c r="C38" s="51" t="str">
        <x:v>FC3BAEBDI8.0-T1</x:v>
      </x:c>
      <x:c r="D38" s="51" t="str">
        <x:v>631-FC3BAEBDI8.0-T1CT-ND</x:v>
      </x:c>
      <x:c r="E38" s="52" t="n">
        <x:v>4</x:v>
      </x:c>
      <x:c r="F38" s="52" t="n">
        <x:v>5</x:v>
      </x:c>
      <x:c r="G38" s="52" t="n">
        <x:v>1</x:v>
      </x:c>
      <x:c r="H38" s="52" t="n">
        <x:v>178</x:v>
      </x:c>
      <x:c r="I38" s="53" t="n">
        <x:v>98</x:v>
      </x:c>
      <x:c r="J38" s="53" t="n">
        <x:v>85.2</x:v>
      </x:c>
      <x:c r="K38" s="53" t="n">
        <x:v>80.44</x:v>
      </x:c>
      <x:c r="L38" s="53" t="n">
        <x:v>77.16</x:v>
      </x:c>
      <x:c r="M38" s="53" t="n">
        <x:v>73.97</x:v>
      </x:c>
      <x:c r="N38" s="53" t="n">
        <x:v>98</x:v>
      </x:c>
      <x:c r="O38" s="51" t="str">
        <x:v>Crystal 3225-4Pin 3.2×2.5mm</x:v>
      </x:c>
      <x:c r="P38" s="51" t="str">
        <x:v>一致</x:v>
      </x:c>
      <x:c r="Q38" s="51" t="str">
        <x:v>8MHz, CL=8pF, ESR max 500Ω</x:v>
      </x:c>
      <x:c r="R38" s="51" t="str">
        <x:v>採用（置換）</x:v>
      </x:c>
      <x:c r="S38" s="51" t="str">
        <x:v>ECS元品欠品。周波数・CL・ESR・外形一致
https://www.digikey.jp/ja/products/detail/fox-electronics/FC3BAEBDI8-0-T1/21293019</x:v>
      </x:c>
    </x:row>
    <x:row r="39" ht="42" customHeight="1">
      <x:c r="A39" s="54" t="str">
        <x:v>手持ち</x:v>
      </x:c>
      <x:c r="B39" s="54" t="str">
        <x:v>UNIT:U4</x:v>
      </x:c>
      <x:c r="C39" s="54" t="str">
        <x:v>STM32G474RET6</x:v>
      </x:c>
      <x:c r="D39" s="54" t="str">
        <x:v>497-STM32G474RET6-ND</x:v>
      </x:c>
      <x:c r="E39" s="55" t="n">
        <x:v>4</x:v>
      </x:c>
      <x:c r="F39" s="55" t="n">
        <x:v>0</x:v>
      </x:c>
      <x:c r="G39" s="55" t="n">
        <x:v>0</x:v>
      </x:c>
      <x:c r="H39" s="55"/>
      <x:c r="I39" s="56"/>
      <x:c r="J39" s="56"/>
      <x:c r="K39" s="56"/>
      <x:c r="L39" s="56"/>
      <x:c r="M39" s="56"/>
      <x:c r="N39" s="56" t="n">
        <x:v>0</x:v>
      </x:c>
      <x:c r="O39" s="54" t="str">
        <x:v>LQFP-64 10×10mm P0.5</x:v>
      </x:c>
      <x:c r="P39" s="54" t="str">
        <x:v>一致</x:v>
      </x:c>
      <x:c r="Q39" s="54" t="str">
        <x:v>手持ち</x:v>
      </x:c>
      <x:c r="R39" s="54" t="str">
        <x:v>購入不要</x:v>
      </x:c>
      <x:c r="S39" s="54" t="str">
        <x:v>4個使用
https://www.digikey.jp/ja/products/detail/stmicroelectronics/STM32G474RET6/10326780</x:v>
      </x:c>
    </x:row>
    <x:row r="40" ht="42" customHeight="1">
      <x:c r="A40" s="54" t="str">
        <x:v>手持ち</x:v>
      </x:c>
      <x:c r="B40" s="54" t="str">
        <x:v>ODOM:U1</x:v>
      </x:c>
      <x:c r="C40" s="54" t="str">
        <x:v>STM32F405RGT6</x:v>
      </x:c>
      <x:c r="D40" s="54" t="str">
        <x:v>497-STM32F405RGT6-ND</x:v>
      </x:c>
      <x:c r="E40" s="55" t="n">
        <x:v>0</x:v>
      </x:c>
      <x:c r="F40" s="55" t="n">
        <x:v>0</x:v>
      </x:c>
      <x:c r="G40" s="55" t="n">
        <x:v>0</x:v>
      </x:c>
      <x:c r="H40" s="55"/>
      <x:c r="I40" s="56"/>
      <x:c r="J40" s="56"/>
      <x:c r="K40" s="56"/>
      <x:c r="L40" s="56"/>
      <x:c r="M40" s="56"/>
      <x:c r="N40" s="56" t="n">
        <x:v>0</x:v>
      </x:c>
      <x:c r="O40" s="54" t="str">
        <x:v>LQFP-64 10×10mm P0.5</x:v>
      </x:c>
      <x:c r="P40" s="54" t="str">
        <x:v>一致</x:v>
      </x:c>
      <x:c r="Q40" s="54" t="str">
        <x:v>研究室在庫</x:v>
      </x:c>
      <x:c r="R40" s="54" t="str">
        <x:v>ODOM発注済み</x:v>
      </x:c>
      <x:c r="S40" s="54" t="str">
        <x:v>1個使用
https://www.digikey.jp/ja/products/detail/stmicroelectronics/STM32F405RGT6/1851915</x:v>
      </x:c>
    </x:row>
    <x:row r="41" ht="42" customHeight="1">
      <x:c r="A41" s="54" t="str">
        <x:v>手持ち</x:v>
      </x:c>
      <x:c r="B41" s="54" t="str">
        <x:v>ODOM:J7接続</x:v>
      </x:c>
      <x:c r="C41" s="54" t="str">
        <x:v>ICM-42688-P breakout</x:v>
      </x:c>
      <x:c r="D41" s="54" t="str"/>
      <x:c r="E41" s="55" t="n">
        <x:v>0</x:v>
      </x:c>
      <x:c r="F41" s="55" t="n">
        <x:v>0</x:v>
      </x:c>
      <x:c r="G41" s="55" t="n">
        <x:v>0</x:v>
      </x:c>
      <x:c r="H41" s="55"/>
      <x:c r="I41" s="56"/>
      <x:c r="J41" s="56"/>
      <x:c r="K41" s="56"/>
      <x:c r="L41" s="56"/>
      <x:c r="M41" s="56"/>
      <x:c r="N41" s="56" t="n">
        <x:v>0</x:v>
      </x:c>
      <x:c r="O41" s="54" t="str">
        <x:v>別モジュール（基板J7へ接続）</x:v>
      </x:c>
      <x:c r="P41" s="54" t="str">
        <x:v>基板実装外</x:v>
      </x:c>
      <x:c r="Q41" s="54" t="str">
        <x:v>購入済み</x:v>
      </x:c>
      <x:c r="R41" s="54" t="str">
        <x:v>ODOM発注済み</x:v>
      </x:c>
      <x:c r="S41" s="54" t="str">
        <x:v>コネクタ接続するモジュール
</x:v>
      </x:c>
    </x:row>
  </x:sheetData>
  <x:mergeCells>
    <x:mergeCell ref="A2:S2"/>
  </x:mergeCells>
  <x:pageMargins left="0.7" right="0.7" top="0.75" bottom="0.75" header="0.3" footer="0.3"/>
</x:worksheet>
</file>